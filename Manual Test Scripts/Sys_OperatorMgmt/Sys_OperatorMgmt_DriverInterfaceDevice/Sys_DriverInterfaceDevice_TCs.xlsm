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OperatorMgmt\Sys_OperatorMgmt_DriverInterfaceDevice\"/>
    </mc:Choice>
  </mc:AlternateContent>
  <xr:revisionPtr revIDLastSave="0" documentId="13_ncr:1_{40415CF1-F13B-4758-85AD-763702151836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ys_DriverInterfaceDevice" sheetId="3" r:id="rId1"/>
    <sheet name="Requirements" sheetId="4" r:id="rId2"/>
  </sheets>
  <definedNames>
    <definedName name="_xlnm._FilterDatabase" localSheetId="0" hidden="1">Sys_DriverInterfaceDevice!$A$139:$N$139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<sst xmlns="http://schemas.openxmlformats.org/spreadsheetml/2006/main" count="302" uniqueCount="241">
  <si>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</si>
  <si>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</si>
  <si>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</si>
  <si>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</si>
  <si>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</si>
  <si>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</si>
  <si>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</si>
  <si>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</si>
  <si>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</si>
  <si>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</si>
  <si>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</si>
  <si>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</si>
  <si>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</si>
  <si>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</si>
  <si>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</si>
  <si>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</si>
  <si>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</si>
  <si>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</si>
  <si>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</si>
  <si>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</si>
  <si>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</si>
  <si>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</si>
  <si>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</si>
  <si>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</si>
  <si>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</si>
  <si>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</si>
  <si>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</si>
  <si>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</si>
  <si>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</si>
  <si>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</si>
  <si>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</si>
  <si>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</si>
  <si>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</si>
  <si>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</si>
  <si>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</si>
  <si>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</si>
  <si>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</si>
  <si>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</si>
  <si>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</si>
  <si>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</si>
  <si>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</si>
  <si>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</si>
  <si>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</si>
  <si>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</si>
  <si>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</si>
  <si>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</si>
  <si>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</si>
  <si>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</si>
  <si>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</si>
  <si>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</si>
  <si>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</si>
  <si>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</si>
  <si>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</si>
  <si>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</si>
  <si>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</si>
  <si>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</si>
  <si>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</si>
  <si>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</si>
  <si>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</si>
  <si>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</si>
  <si>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</si>
  <si>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</si>
  <si>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</si>
  <si>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</si>
  <si>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</si>
  <si>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</si>
  <si>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</si>
  <si>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</si>
  <si>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</si>
  <si>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</si>
  <si>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</si>
  <si>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</si>
  <si>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</si>
  <si>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</si>
  <si>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</si>
  <si>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</si>
  <si>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</si>
  <si>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</si>
  <si>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</si>
  <si>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</si>
  <si>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</si>
  <si>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</si>
  <si>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</si>
  <si>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</si>
  <si>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</si>
  <si>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</si>
  <si>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</si>
  <si>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</si>
  <si>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</si>
  <si>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</si>
  <si>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</si>
  <si>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</si>
  <si>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</si>
  <si>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</si>
  <si>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</si>
  <si>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</si>
  <si>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</si>
  <si>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</si>
  <si>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</si>
  <si>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</si>
  <si>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</si>
  <si>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</si>
  <si>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</si>
  <si>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</si>
  <si>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</si>
  <si>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</si>
  <si>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</si>
  <si>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</si>
  <si>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</si>
  <si>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</si>
  <si>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</si>
  <si>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</si>
  <si>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</si>
  <si>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</si>
  <si>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</si>
  <si>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</si>
  <si>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</si>
  <si>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</si>
  <si>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</si>
  <si>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</si>
  <si>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</si>
  <si>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</si>
  <si>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</si>
  <si>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</si>
  <si>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</si>
  <si>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</si>
  <si>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</si>
  <si>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</si>
  <si>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</si>
  <si>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</si>
  <si>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</si>
  <si>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</si>
  <si>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</si>
  <si>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</si>
  <si>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</si>
  <si>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</si>
  <si>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</si>
  <si>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</si>
  <si>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</si>
  <si>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</si>
  <si>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</si>
  <si>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</si>
  <si>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</si>
  <si>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</si>
  <si>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</si>
  <si>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</si>
  <si>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</si>
  <si>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</si>
  <si>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</si>
  <si>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</si>
  <si>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</si>
  <si>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</si>
  <si>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</si>
  <si>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</si>
  <si>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</si>
  <si>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</si>
  <si>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</si>
  <si>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</si>
  <si>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</si>
  <si>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</si>
  <si>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</si>
  <si>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</si>
  <si>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</si>
  <si>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</si>
  <si>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</si>
  <si>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</si>
  <si>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</si>
  <si>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</si>
  <si>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</si>
  <si>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</si>
  <si>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</si>
  <si>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</si>
  <si>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</si>
  <si>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</si>
  <si>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</si>
  <si>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</si>
  <si>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</si>
  <si>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</si>
  <si>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</si>
  <si>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</si>
  <si>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</si>
  <si>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</si>
  <si>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</si>
  <si>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</si>
  <si>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</si>
  <si>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</si>
  <si>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</si>
  <si>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</si>
  <si>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</si>
  <si>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</si>
  <si>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</si>
  <si>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</si>
  <si>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</si>
  <si>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</si>
  <si>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</si>
  <si>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</si>
  <si>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</si>
  <si>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</si>
  <si>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</si>
  <si>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</si>
  <si>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</si>
  <si>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</si>
  <si>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</si>
  <si>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</si>
  <si>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</si>
  <si>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</si>
  <si>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</si>
  <si>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</si>
  <si>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</si>
  <si>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</si>
  <si>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</si>
  <si>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</si>
  <si>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</si>
  <si>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</si>
  <si>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Electrical Diagnostics</t>
  </si>
  <si>
    <t>Functional Diagnostics</t>
  </si>
  <si>
    <t>HIL Test_x000D_
Vehicle Test</t>
  </si>
  <si>
    <t>.</t>
  </si>
  <si>
    <t>Id</t>
  </si>
  <si>
    <t>Content</t>
  </si>
  <si>
    <t>Condition</t>
  </si>
  <si>
    <t>Verify following requirements.</t>
  </si>
  <si>
    <t>ZP-24690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</si>
  <si>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</t>
  </si>
  <si>
    <t>The system shall increase upshift point when ALL following conditions are met:
- The accelerator pedal is Released;
- The Engine brake lever is at "Position 2";
- Downhill Roll Mode is active;
- The retarder‑based upshift‑point offset is enabled by C_PtmEngyUpRetarderEnable.</t>
  </si>
  <si>
    <t>The system shall disable Coast Mode when Iveco Engine brake lever is at "Position 1".</t>
  </si>
  <si>
    <t>The system shall disable Coast Mode when Iveco Engine brake lever is at "Position 2".</t>
  </si>
  <si>
    <t>VERIFY ECU.PtmEnergyCoastCmd = 0 WHEN:
- ECU.rtDWork.OprRetarderPosition1 = 1</t>
  </si>
  <si>
    <t>VERIFY ECU.PtmEnergyCoastCmd = 0 WHEN:
- ECU.rtDWork.OprRetarderPosition2 = 1</t>
  </si>
  <si>
    <t>VERIFY ECU.PtmEngyDriveUpShiftPt = ECU.CA_PtmEnergyCoastUpSpeedThd WHEN all below conditions are met:
- ECU.OprFootOnAccelPedal = 0
- ECU.ECU.rtDWork.OprRetarderPosition2 = 1
- ECU.OprDownhillRollActive = 1
- ECU.C_PtmEngyUpRetarderEnable = 1</t>
  </si>
  <si>
    <t>VERIFY ECU.PtmEngyDriveUpShiftPt = ECU.CA_PtmEnergyCoastUpSpeedThd WHEN all below conditions are met:
- ECU.OprFootOnAccelPedal = 0
- ECU.ECU.rtDWork.OprRetarderPosition1 = 1
- ECU.OprDownhillRollActive = 1
- ECU.C_PtmEngyUpRetarderEnable = 1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</si>
  <si>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
The system shall increase upshift point when ALL following conditions are met:
- The accelerator pedal is Released;
- The Engine brake lever is at "Position 2";
- Downhill Roll Mode is active;
- The retarder‑based upshift‑point offset is enabled by C_PtmEngyUpRetarderEnable.
The system shall disable Coast Mode when Iveco Engine brake lever is at "Position 1".
The system shall disable Coast Mode when Iveco Engine brake lever is at "Position 2".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</si>
  <si>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</t>
    </r>
    <r>
      <rPr>
        <sz val="11"/>
        <color theme="1"/>
        <rFont val="Calibri"/>
        <family val="2"/>
        <charset val="238"/>
        <scheme val="minor"/>
      </rPr>
      <t>_Iveco_EngineBrakeLever</t>
    </r>
  </si>
  <si>
    <t>SET VEH.EngineBrakeLever = OFF
SET VEH.ServiceBrake = ON
WAIT ECU.VehSpeed = 0
#Summary
1. Set engine brake lever to neutral position.
2. Press service brake and bring vehicle to stop.</t>
  </si>
  <si>
    <t>SET ENV.Grade &lt;= -5% (vehicle facing downhill)
SET VEH.ServiceBrake = OFF
SET VEH.AccelPedal = ON
WAIT VEH.CurrentGear = 6 or 10 (depending on application)
VERIFY EXPECTED RESULTS
#Summary
1. Release brake pedal.
2. Apply accelerator pedal.
3. Reach top gear.</t>
  </si>
  <si>
    <t xml:space="preserve">2523709
2523710
2253611
2558058
</t>
  </si>
  <si>
    <t>CANape_x000D_
CANalyzer</t>
  </si>
  <si>
    <t>! Before test verify CA_FPTEnginePresent = 1, if not set it to 1 !
SET VEH.ParkingBrake = OFF
SET VEH.ServiceBrake = ON
SET VEH.PRNDL = Drive (1)
VERIFY EXPECTED RESULTS
#Summary
1. Depress brake pedal. Release parking brake.
2. Select Drive mode. Confirm Drive mode is selected and start gear is engaged.</t>
  </si>
  <si>
    <t>Collect the following
XCP with 10 ms cyclic:
OprFootOnBrakePedal
OprFootOnAccelPedal
OprPRNDLSelect
OprPRNDL
AMTCurrentGear
AMTSelectedGear
AMTShiftState
EngineSpeed
VehSpeed
PtmEngyDriveUpShiftPt
CA_PtmEnergyCoastUpSpeedThd
rtDWork.OprRetarderPosition1 
rtDWork.OprRetarderPosition2
OprDownhillRollActive
C_PtmEngyUpRetarderEnable
PtmEnergyCoastCmd
EnvGradeFraction
CA_FPTEnginePresent
SET TE.Battery = 24000 (mV)
SET TE.Ignition = 24000 (mV)
SET VEH.Engine = ON
#Summary:
1. Set battery power and ignition to 24V, then start engine</t>
  </si>
  <si>
    <t>SET VEH.AccelPedal = OFF
WAIT VEH.CoastMode = ON (WAIT ECU.PtmEnergyCoastCmd = 1)
SET VEH.EngineBrakeLever = Position 2
VERIFY EXPECTED RESULTS
#Summary
1. Release accelerator pedal.
2. Wait until coast mode is active.
3. Set Iveco engine brake lever to position 2.</t>
  </si>
  <si>
    <t>SET VEH.AccelPedal = OFF
WAIT VEH.CoastMode = ON (WAIT ECU.PtmEnergyCoastCmd = 1)
SET VEH.EngineBrakeLever = Position 1
VERIFY EXPECTED RESULTS
#Summary
1. Release accelerator pedal.
2. Wait until coast mode is active.
3. Set Iveco engine brake lever to position 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</si>
</sst>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6" fillId="18" borderId="0" applyNumberFormat="0" applyBorder="0" applyAlignment="0" applyProtection="0"/>
    <xf numFmtId="0" fontId="27" fillId="19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6" fillId="18" borderId="0" xfId="1" applyAlignment="1">
      <alignment horizontal="left" vertical="top"/>
    </xf>
    <xf numFmtId="0" fontId="27" fillId="19" borderId="0" xfId="2" applyAlignment="1">
      <alignment horizontal="left" vertical="top"/>
    </xf>
    <xf numFmtId="0" fontId="27" fillId="19" borderId="0" xfId="2" applyAlignment="1">
      <alignment horizontal="left" vertical="top" wrapText="1"/>
    </xf>
    <xf numFmtId="0" fontId="26" fillId="18" borderId="0" xfId="1" applyAlignment="1">
      <alignment wrapText="1"/>
    </xf>
    <xf numFmtId="0" fontId="23" fillId="0" borderId="2" xfId="0" applyFont="1" applyBorder="1" applyAlignment="1" applyProtection="1">
      <alignment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43"/>
  <sheetViews>
    <sheetView showGridLines="0" tabSelected="1" topLeftCell="A143" zoomScale="60" zoomScaleNormal="60" workbookViewId="0">
      <selection activeCell="D144" sqref="D14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215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214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213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91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91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92" t="s">
        <v>72</v>
      </c>
      <c r="H137"/>
      <c r="I137"/>
      <c r="J137" s="46"/>
      <c r="K137"/>
      <c r="M137"/>
      <c r="N137" s="94" t="s">
        <v>73</v>
      </c>
      <c r="P137"/>
      <c r="Q137"/>
      <c r="R137" s="96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93"/>
      <c r="H138"/>
      <c r="I138"/>
      <c r="J138" s="46"/>
      <c r="K138"/>
      <c r="M138"/>
      <c r="N138" s="95"/>
      <c r="P138"/>
      <c r="R138" s="97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2" customHeight="1" x14ac:dyDescent="0.3">
      <c r="A140" s="2" t="s">
        <v>235</v>
      </c>
      <c r="B140" s="82" t="s">
        <v>232</v>
      </c>
      <c r="C140" s="54" t="s">
        <v>231</v>
      </c>
      <c r="D140" s="68" t="s">
        <v>238</v>
      </c>
      <c r="E140" s="3" t="s">
        <v>217</v>
      </c>
      <c r="F140" s="23" t="s">
        <v>236</v>
      </c>
      <c r="G140" s="24" t="s">
        <v>216</v>
      </c>
      <c r="H140" s="24" t="s">
        <v>121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172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217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39.80000000000001" customHeight="1" x14ac:dyDescent="0.3">
      <c r="A142" s="2"/>
      <c r="C142" s="2"/>
      <c r="D142" s="56" t="s">
        <v>237</v>
      </c>
      <c r="E142" s="62" t="s">
        <v>217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144" x14ac:dyDescent="0.3">
      <c r="A143" s="2"/>
      <c r="B143" s="2"/>
      <c r="C143" s="2"/>
      <c r="D143" s="71" t="s">
        <v>234</v>
      </c>
      <c r="E143" s="62" t="s">
        <v>217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29.6" x14ac:dyDescent="0.3">
      <c r="A144" s="2"/>
      <c r="B144" s="2"/>
      <c r="C144" s="2"/>
      <c r="D144" s="71" t="s">
        <v>240</v>
      </c>
      <c r="E144" s="62" t="s">
        <v>217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100.8" x14ac:dyDescent="0.3">
      <c r="A145" s="2"/>
      <c r="B145" s="2"/>
      <c r="C145" s="2"/>
      <c r="D145" s="71" t="s">
        <v>233</v>
      </c>
      <c r="E145" s="62" t="s">
        <v>217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234</v>
      </c>
      <c r="E146" s="62" t="s">
        <v>217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29.6" x14ac:dyDescent="0.3">
      <c r="A147" s="2"/>
      <c r="B147" s="2"/>
      <c r="C147" s="2"/>
      <c r="D147" s="71" t="s">
        <v>239</v>
      </c>
      <c r="E147" s="62" t="s">
        <v>217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00.8" x14ac:dyDescent="0.3">
      <c r="A148" s="2"/>
      <c r="B148" s="2"/>
      <c r="C148" s="2"/>
      <c r="D148" s="71" t="s">
        <v>233</v>
      </c>
      <c r="E148" s="62" t="s">
        <v>217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86.4" x14ac:dyDescent="0.3">
      <c r="A149" s="2"/>
      <c r="B149" s="2"/>
      <c r="C149" s="2"/>
      <c r="D149" s="71" t="s">
        <v>221</v>
      </c>
      <c r="E149" s="62" t="s">
        <v>230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86.4" x14ac:dyDescent="0.3">
      <c r="A150" s="2"/>
      <c r="B150" s="2"/>
      <c r="C150" s="2"/>
      <c r="D150" s="90" t="s">
        <v>221</v>
      </c>
      <c r="E150" s="13" t="s">
        <v>229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28.8" x14ac:dyDescent="0.3">
      <c r="A151" s="2"/>
      <c r="B151" s="2"/>
      <c r="C151" s="2"/>
      <c r="D151" s="71" t="s">
        <v>221</v>
      </c>
      <c r="E151" s="2" t="s">
        <v>227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28.8" x14ac:dyDescent="0.3">
      <c r="A152" s="2"/>
      <c r="B152" s="2"/>
      <c r="C152" s="2"/>
      <c r="D152" s="71" t="s">
        <v>221</v>
      </c>
      <c r="E152" s="2" t="s">
        <v>228</v>
      </c>
      <c r="F152" s="26"/>
      <c r="G152" s="27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2"/>
      <c r="B153" s="2"/>
      <c r="C153" s="2"/>
      <c r="D153" s="5" t="s">
        <v>64</v>
      </c>
      <c r="E153" s="2" t="s">
        <v>217</v>
      </c>
      <c r="F153" s="26"/>
      <c r="G153" s="27"/>
      <c r="H153" s="9"/>
      <c r="I153" s="27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x14ac:dyDescent="0.3">
      <c r="A154" s="2"/>
      <c r="B154" s="2"/>
      <c r="C154" s="2"/>
      <c r="D154" s="1"/>
      <c r="E154" s="2"/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B155" s="2"/>
      <c r="C155" s="2"/>
      <c r="D155" s="55"/>
      <c r="E155" s="2"/>
      <c r="F155" s="26"/>
      <c r="G155" s="28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6"/>
    </row>
    <row r="157" spans="1:19" x14ac:dyDescent="0.3">
      <c r="A157" s="2"/>
      <c r="B157" s="77"/>
      <c r="C157" s="54"/>
      <c r="D157" s="68"/>
      <c r="E157" s="3"/>
      <c r="F157" s="23"/>
      <c r="G157" s="24"/>
      <c r="H157" s="24"/>
      <c r="I157" s="24"/>
      <c r="J157" s="24"/>
      <c r="K157" s="24"/>
      <c r="L157" s="24"/>
      <c r="M157" s="24"/>
      <c r="N157" s="25"/>
      <c r="O157" s="25"/>
      <c r="P157" s="25"/>
      <c r="Q157" s="25"/>
      <c r="R157" s="25"/>
      <c r="S157" s="33"/>
    </row>
    <row r="158" spans="1:19" ht="84" customHeight="1" x14ac:dyDescent="0.3">
      <c r="A158" s="2"/>
      <c r="B158" s="69"/>
      <c r="C158" s="2"/>
      <c r="D158" s="57"/>
      <c r="E158" s="2"/>
      <c r="F158" s="8"/>
      <c r="G158" s="9"/>
      <c r="H158" s="9"/>
      <c r="I158" s="9"/>
      <c r="J158" s="9"/>
      <c r="K158" s="65"/>
      <c r="L158" s="9"/>
      <c r="M158" s="9"/>
      <c r="N158" s="9"/>
      <c r="O158" s="9"/>
      <c r="P158" s="9"/>
      <c r="Q158" s="9"/>
      <c r="R158" s="9"/>
      <c r="S158" s="32"/>
    </row>
    <row r="159" spans="1:19" x14ac:dyDescent="0.3">
      <c r="A159" s="2"/>
      <c r="B159" s="2"/>
      <c r="C159" s="2"/>
      <c r="D159" s="5"/>
      <c r="E159" s="2"/>
      <c r="F159" s="8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C160" s="2"/>
      <c r="D160" s="56"/>
      <c r="E160" s="62"/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2"/>
      <c r="D161" s="71"/>
      <c r="E161" s="62"/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2"/>
      <c r="B162" s="2"/>
      <c r="C162" s="2"/>
      <c r="D162" s="59"/>
      <c r="E162" s="62"/>
      <c r="F162" s="26"/>
      <c r="G162" s="27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2"/>
      <c r="D163" s="5"/>
      <c r="E163" s="2"/>
      <c r="F163" s="26"/>
      <c r="G163" s="27"/>
      <c r="H163" s="9"/>
      <c r="I163" s="27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1"/>
      <c r="E164" s="2"/>
      <c r="F164" s="26"/>
      <c r="G164" s="27"/>
      <c r="H164" s="9"/>
      <c r="I164" s="27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5"/>
      <c r="E165" s="2"/>
      <c r="F165" s="26"/>
      <c r="G165" s="28"/>
      <c r="H165" s="9"/>
      <c r="I165" s="27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7"/>
      <c r="B166" s="4"/>
      <c r="C166" s="4"/>
      <c r="D166" s="4"/>
      <c r="E166" s="4"/>
      <c r="F166" s="29"/>
      <c r="G166" s="29"/>
      <c r="H166" s="12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29"/>
    </row>
    <row r="167" spans="1:19" x14ac:dyDescent="0.3">
      <c r="A167" s="2"/>
      <c r="B167" s="77"/>
      <c r="C167" s="54"/>
      <c r="D167" s="68"/>
      <c r="E167" s="3"/>
      <c r="F167" s="23"/>
      <c r="G167" s="24"/>
      <c r="H167" s="24"/>
      <c r="I167" s="24"/>
      <c r="J167" s="24"/>
      <c r="K167" s="24"/>
      <c r="L167" s="24"/>
      <c r="M167" s="24"/>
      <c r="N167" s="25"/>
      <c r="O167" s="25"/>
      <c r="P167" s="25"/>
      <c r="Q167" s="25"/>
      <c r="R167" s="25"/>
      <c r="S167" s="33"/>
    </row>
    <row r="168" spans="1:19" ht="87.75" customHeight="1" x14ac:dyDescent="0.3">
      <c r="A168" s="2"/>
      <c r="B168" s="3"/>
      <c r="C168" s="60"/>
      <c r="D168" s="57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32"/>
    </row>
    <row r="169" spans="1:19" x14ac:dyDescent="0.3">
      <c r="A169" s="2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ht="395.25" customHeight="1" x14ac:dyDescent="0.3">
      <c r="A170" s="2"/>
      <c r="B170" s="2"/>
      <c r="C170" s="2"/>
      <c r="D170" s="59"/>
      <c r="E170" s="78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61"/>
      <c r="D171" s="59"/>
      <c r="E171" s="6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2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2"/>
      <c r="B174" s="2"/>
      <c r="C174" s="2"/>
      <c r="D174" s="1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2"/>
      <c r="B175" s="2"/>
      <c r="C175" s="2"/>
      <c r="D175" s="5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7"/>
      <c r="B176" s="4"/>
      <c r="C176" s="4"/>
      <c r="D176" s="4"/>
      <c r="E176" s="4"/>
      <c r="F176" s="29"/>
      <c r="G176" s="29"/>
      <c r="H176" s="12"/>
      <c r="I176" s="29"/>
      <c r="J176" s="12"/>
      <c r="K176" s="12"/>
      <c r="L176" s="12"/>
      <c r="M176" s="12"/>
      <c r="N176" s="12"/>
      <c r="O176" s="12"/>
      <c r="P176" s="12"/>
      <c r="Q176" s="12"/>
      <c r="R176" s="12"/>
      <c r="S176" s="29"/>
    </row>
    <row r="177" spans="1:19" x14ac:dyDescent="0.3">
      <c r="A177" s="2"/>
      <c r="B177" s="70"/>
      <c r="C177" s="54"/>
      <c r="D177" s="68"/>
      <c r="E177" s="3"/>
      <c r="F177" s="23"/>
      <c r="G177" s="24"/>
      <c r="H177" s="24"/>
      <c r="I177" s="24"/>
      <c r="J177" s="24"/>
      <c r="K177" s="24"/>
      <c r="L177" s="24"/>
      <c r="M177" s="24"/>
      <c r="N177" s="25"/>
      <c r="O177" s="25"/>
      <c r="P177" s="25"/>
      <c r="Q177" s="25"/>
      <c r="R177" s="25"/>
      <c r="S177" s="33"/>
    </row>
    <row r="178" spans="1:19" ht="81.75" customHeight="1" x14ac:dyDescent="0.3">
      <c r="A178" s="10"/>
      <c r="B178" s="2"/>
      <c r="C178" s="2"/>
      <c r="D178" s="5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32"/>
    </row>
    <row r="179" spans="1:19" x14ac:dyDescent="0.3">
      <c r="A179" s="10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0"/>
      <c r="B180" s="56"/>
      <c r="C180" s="58"/>
      <c r="D180" s="56"/>
      <c r="E180" s="78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10"/>
      <c r="B181" s="59"/>
      <c r="C181" s="62"/>
      <c r="D181" s="59"/>
      <c r="E181" s="6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ht="28.8" x14ac:dyDescent="0.3">
      <c r="A182" s="10"/>
      <c r="B182" s="56"/>
      <c r="C182" s="63"/>
      <c r="D182" s="56"/>
      <c r="E182" s="78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11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2"/>
      <c r="B184" s="2"/>
      <c r="C184" s="2"/>
      <c r="D184" s="28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B185" s="2"/>
      <c r="C185" s="2"/>
      <c r="D185" s="55"/>
      <c r="E185" s="2"/>
      <c r="F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79"/>
      <c r="B186" s="7"/>
      <c r="C186" s="4"/>
      <c r="D186" s="4"/>
      <c r="E186" s="4"/>
      <c r="F186" s="4"/>
      <c r="G186" s="29"/>
      <c r="H186" s="29"/>
      <c r="I186" s="12"/>
      <c r="J186" s="29"/>
      <c r="K186" s="12"/>
      <c r="L186" s="12"/>
      <c r="M186" s="12"/>
      <c r="N186" s="12"/>
      <c r="O186" s="12"/>
      <c r="P186" s="12"/>
      <c r="Q186" s="12"/>
      <c r="R186" s="12"/>
      <c r="S186" s="12"/>
    </row>
    <row r="187" spans="1:19" x14ac:dyDescent="0.3">
      <c r="A187" s="2"/>
      <c r="B187" s="70"/>
      <c r="C187" s="54"/>
      <c r="D187" s="68"/>
      <c r="E187" s="3"/>
      <c r="F187" s="23"/>
      <c r="G187" s="24"/>
      <c r="H187" s="24"/>
      <c r="I187" s="24"/>
      <c r="J187" s="24"/>
      <c r="K187" s="24"/>
      <c r="L187" s="24"/>
      <c r="M187" s="24"/>
      <c r="N187" s="25"/>
      <c r="O187" s="25"/>
      <c r="P187" s="25"/>
      <c r="Q187" s="25"/>
      <c r="R187" s="25"/>
      <c r="S187" s="33"/>
    </row>
    <row r="188" spans="1:19" ht="111" customHeight="1" x14ac:dyDescent="0.3">
      <c r="A188" s="2"/>
      <c r="B188" s="69"/>
      <c r="C188" s="2"/>
      <c r="D188" s="57"/>
      <c r="E188" s="2"/>
      <c r="F188" s="8"/>
      <c r="G188" s="9"/>
      <c r="H188" s="9"/>
      <c r="I188" s="9"/>
      <c r="J188" s="9"/>
      <c r="K188" s="65"/>
      <c r="L188" s="9"/>
      <c r="M188" s="9"/>
      <c r="N188" s="9"/>
      <c r="O188" s="9"/>
      <c r="P188" s="9"/>
      <c r="Q188" s="9"/>
      <c r="R188" s="9"/>
      <c r="S188" s="32"/>
    </row>
    <row r="189" spans="1:19" x14ac:dyDescent="0.3">
      <c r="A189" s="2"/>
      <c r="B189" s="2"/>
      <c r="C189" s="2"/>
      <c r="D189" s="5"/>
      <c r="E189" s="2"/>
      <c r="F189" s="8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27"/>
    </row>
    <row r="190" spans="1:19" x14ac:dyDescent="0.3">
      <c r="A190" s="2"/>
      <c r="C190" s="2"/>
      <c r="D190" s="56"/>
      <c r="E190" s="62"/>
      <c r="F190" s="26"/>
      <c r="G190" s="27"/>
      <c r="H190" s="9"/>
      <c r="I190" s="27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B191" s="2"/>
      <c r="C191" s="2"/>
      <c r="D191" s="71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81"/>
      <c r="B192" s="11"/>
      <c r="C192" s="2"/>
      <c r="D192" s="5"/>
      <c r="E192" s="2"/>
      <c r="F192" s="28"/>
      <c r="G192" s="8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</row>
    <row r="193" spans="1:19" x14ac:dyDescent="0.3">
      <c r="A193" s="81"/>
      <c r="B193" s="2"/>
      <c r="C193" s="2"/>
      <c r="D193" s="28"/>
      <c r="E193" s="2"/>
      <c r="F193" s="28"/>
      <c r="G193" s="8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</row>
    <row r="194" spans="1:19" x14ac:dyDescent="0.3">
      <c r="A194" s="80"/>
      <c r="B194" s="2"/>
      <c r="C194" s="2"/>
      <c r="D194" s="55"/>
      <c r="E194" s="2"/>
      <c r="F194" s="28"/>
      <c r="G194" s="8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</row>
    <row r="195" spans="1:19" x14ac:dyDescent="0.3">
      <c r="A195" s="6"/>
      <c r="B195" s="72"/>
      <c r="C195" s="72"/>
      <c r="D195" s="72"/>
      <c r="E195" s="72"/>
      <c r="F195" s="73"/>
      <c r="G195" s="73"/>
      <c r="H195" s="74"/>
      <c r="I195" s="73"/>
      <c r="J195" s="74"/>
      <c r="K195" s="74"/>
      <c r="L195" s="74"/>
      <c r="M195" s="74"/>
      <c r="N195" s="74"/>
      <c r="O195" s="74"/>
      <c r="P195" s="74"/>
      <c r="Q195" s="74"/>
      <c r="R195" s="74"/>
      <c r="S195" s="73"/>
    </row>
    <row r="196" spans="1:19" x14ac:dyDescent="0.3">
      <c r="A196" s="2"/>
      <c r="B196" s="70"/>
      <c r="C196" s="54"/>
      <c r="D196" s="68"/>
      <c r="E196" s="3"/>
      <c r="F196" s="23"/>
      <c r="G196" s="24"/>
      <c r="H196" s="24"/>
      <c r="I196" s="24"/>
      <c r="J196" s="24"/>
      <c r="K196" s="24"/>
      <c r="L196" s="24"/>
      <c r="M196" s="24"/>
      <c r="N196" s="25"/>
      <c r="O196" s="25"/>
      <c r="P196" s="25"/>
      <c r="Q196" s="25"/>
      <c r="R196" s="25"/>
      <c r="S196" s="33"/>
    </row>
    <row r="197" spans="1:19" ht="86.25" customHeight="1" x14ac:dyDescent="0.3">
      <c r="A197" s="2"/>
      <c r="B197" s="60"/>
      <c r="C197" s="64"/>
      <c r="D197" s="57"/>
      <c r="E197" s="2"/>
      <c r="F197" s="8"/>
      <c r="G197" s="9"/>
      <c r="H197" s="9"/>
      <c r="I197" s="9"/>
      <c r="J197" s="9"/>
      <c r="K197" s="65"/>
      <c r="L197" s="9"/>
      <c r="M197" s="9"/>
      <c r="N197" s="9"/>
      <c r="O197" s="9"/>
      <c r="P197" s="9"/>
      <c r="Q197" s="9"/>
      <c r="R197" s="9"/>
      <c r="S197" s="32"/>
    </row>
    <row r="198" spans="1:19" x14ac:dyDescent="0.3">
      <c r="A198" s="2"/>
      <c r="B198" s="2"/>
      <c r="C198" s="2"/>
      <c r="D198" s="5"/>
      <c r="E198" s="2"/>
      <c r="F198" s="8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C199" s="2"/>
      <c r="D199" s="56"/>
      <c r="E199" s="6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71"/>
      <c r="E200" s="6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5"/>
      <c r="E202" s="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1"/>
      <c r="E203" s="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5"/>
      <c r="E204" s="2"/>
      <c r="F204" s="26"/>
      <c r="G204" s="28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6"/>
    </row>
    <row r="206" spans="1:19" x14ac:dyDescent="0.3">
      <c r="A206" s="2"/>
      <c r="B206" s="77"/>
      <c r="C206" s="54"/>
      <c r="D206" s="68"/>
      <c r="E206" s="3"/>
      <c r="F206" s="23"/>
      <c r="G206" s="24"/>
      <c r="H206" s="24"/>
      <c r="I206" s="24"/>
      <c r="J206" s="24"/>
      <c r="K206" s="24"/>
      <c r="L206" s="24"/>
      <c r="M206" s="24"/>
      <c r="N206" s="25"/>
      <c r="O206" s="25"/>
      <c r="P206" s="25"/>
      <c r="Q206" s="25"/>
      <c r="R206" s="25"/>
      <c r="S206" s="33"/>
    </row>
    <row r="207" spans="1:19" ht="84.75" customHeight="1" x14ac:dyDescent="0.3">
      <c r="A207" s="2"/>
      <c r="B207" s="69"/>
      <c r="C207" s="2"/>
      <c r="D207" s="57"/>
      <c r="E207" s="2"/>
      <c r="F207" s="8"/>
      <c r="G207" s="9"/>
      <c r="H207" s="9"/>
      <c r="I207" s="9"/>
      <c r="J207" s="9"/>
      <c r="K207" s="65"/>
      <c r="L207" s="9"/>
      <c r="M207" s="9"/>
      <c r="N207" s="9"/>
      <c r="O207" s="9"/>
      <c r="P207" s="9"/>
      <c r="Q207" s="9"/>
      <c r="R207" s="9"/>
      <c r="S207" s="32"/>
    </row>
    <row r="208" spans="1:19" x14ac:dyDescent="0.3">
      <c r="A208" s="2"/>
      <c r="B208" s="2"/>
      <c r="C208" s="2"/>
      <c r="D208" s="5"/>
      <c r="E208" s="2"/>
      <c r="F208" s="8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C209" s="2"/>
      <c r="D209" s="56"/>
      <c r="E209" s="6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71"/>
      <c r="E210" s="6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62"/>
      <c r="F211" s="26"/>
      <c r="G211" s="27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5"/>
      <c r="E212" s="2"/>
      <c r="F212" s="26"/>
      <c r="G212" s="27"/>
      <c r="H212" s="9"/>
      <c r="I212" s="27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1"/>
      <c r="E213" s="2"/>
      <c r="F213" s="26"/>
      <c r="G213" s="27"/>
      <c r="H213" s="9"/>
      <c r="I213" s="27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5"/>
      <c r="E214" s="2"/>
      <c r="F214" s="26"/>
      <c r="G214" s="28"/>
      <c r="H214" s="9"/>
      <c r="I214" s="27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7"/>
      <c r="B215" s="4"/>
      <c r="C215" s="4"/>
      <c r="D215" s="4"/>
      <c r="E215" s="4"/>
      <c r="F215" s="29"/>
      <c r="G215" s="29"/>
      <c r="H215" s="12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29"/>
    </row>
    <row r="216" spans="1:19" x14ac:dyDescent="0.3">
      <c r="A216" s="2"/>
      <c r="B216" s="77"/>
      <c r="C216" s="54"/>
      <c r="D216" s="68"/>
      <c r="E216" s="3"/>
      <c r="F216" s="23"/>
      <c r="G216" s="24"/>
      <c r="H216" s="24"/>
      <c r="I216" s="24"/>
      <c r="J216" s="24"/>
      <c r="K216" s="24"/>
      <c r="L216" s="24"/>
      <c r="M216" s="24"/>
      <c r="N216" s="25"/>
      <c r="O216" s="25"/>
      <c r="P216" s="25"/>
      <c r="Q216" s="25"/>
      <c r="R216" s="25"/>
      <c r="S216" s="33"/>
    </row>
    <row r="217" spans="1:19" ht="81" customHeight="1" x14ac:dyDescent="0.3">
      <c r="A217" s="2"/>
      <c r="B217" s="3"/>
      <c r="C217" s="60"/>
      <c r="D217" s="57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32"/>
    </row>
    <row r="218" spans="1:19" x14ac:dyDescent="0.3">
      <c r="A218" s="2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9"/>
      <c r="E219" s="78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61"/>
      <c r="D220" s="59"/>
      <c r="E220" s="6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2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2"/>
      <c r="B223" s="2"/>
      <c r="C223" s="2"/>
      <c r="D223" s="1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2"/>
      <c r="B224" s="2"/>
      <c r="C224" s="2"/>
      <c r="D224" s="5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7"/>
      <c r="B225" s="4"/>
      <c r="C225" s="4"/>
      <c r="D225" s="4"/>
      <c r="E225" s="4"/>
      <c r="F225" s="29"/>
      <c r="G225" s="29"/>
      <c r="H225" s="12"/>
      <c r="I225" s="29"/>
      <c r="J225" s="12"/>
      <c r="K225" s="12"/>
      <c r="L225" s="12"/>
      <c r="M225" s="12"/>
      <c r="N225" s="12"/>
      <c r="O225" s="12"/>
      <c r="P225" s="12"/>
      <c r="Q225" s="12"/>
      <c r="R225" s="12"/>
      <c r="S225" s="29"/>
    </row>
    <row r="226" spans="1:19" x14ac:dyDescent="0.3">
      <c r="A226" s="2"/>
      <c r="B226" s="70"/>
      <c r="C226" s="54"/>
      <c r="D226" s="68"/>
      <c r="E226" s="3"/>
      <c r="F226" s="23"/>
      <c r="G226" s="24"/>
      <c r="H226" s="24"/>
      <c r="I226" s="24"/>
      <c r="J226" s="24"/>
      <c r="K226" s="24"/>
      <c r="L226" s="24"/>
      <c r="M226" s="24"/>
      <c r="N226" s="25"/>
      <c r="O226" s="25"/>
      <c r="P226" s="25"/>
      <c r="Q226" s="25"/>
      <c r="R226" s="25"/>
      <c r="S226" s="33"/>
    </row>
    <row r="227" spans="1:19" ht="83.25" customHeight="1" x14ac:dyDescent="0.3">
      <c r="A227" s="10"/>
      <c r="B227" s="2"/>
      <c r="C227" s="2"/>
      <c r="D227" s="57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32"/>
    </row>
    <row r="228" spans="1:19" x14ac:dyDescent="0.3">
      <c r="A228" s="10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0"/>
      <c r="B229" s="56"/>
      <c r="C229" s="58"/>
      <c r="D229" s="56"/>
      <c r="E229" s="78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10"/>
      <c r="B230" s="59"/>
      <c r="C230" s="62"/>
      <c r="D230" s="59"/>
      <c r="E230" s="6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ht="28.8" x14ac:dyDescent="0.3">
      <c r="A231" s="10"/>
      <c r="B231" s="56"/>
      <c r="C231" s="63"/>
      <c r="D231" s="56"/>
      <c r="E231" s="78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11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2"/>
      <c r="B233" s="2"/>
      <c r="C233" s="2"/>
      <c r="D233" s="1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B234" s="2"/>
      <c r="C234" s="2"/>
      <c r="D234" s="55"/>
      <c r="E234" s="2"/>
      <c r="F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79"/>
      <c r="B235" s="7"/>
      <c r="C235" s="4"/>
      <c r="D235" s="4"/>
      <c r="E235" s="4"/>
      <c r="F235" s="4"/>
      <c r="G235" s="29"/>
      <c r="H235" s="29"/>
      <c r="I235" s="12"/>
      <c r="J235" s="29"/>
      <c r="K235" s="12"/>
      <c r="L235" s="12"/>
      <c r="M235" s="12"/>
      <c r="N235" s="12"/>
      <c r="O235" s="12"/>
      <c r="P235" s="12"/>
      <c r="Q235" s="12"/>
      <c r="R235" s="12"/>
      <c r="S235" s="12"/>
    </row>
    <row r="236" spans="1:19" x14ac:dyDescent="0.3">
      <c r="A236" s="2"/>
      <c r="B236" s="70"/>
      <c r="C236" s="54"/>
      <c r="D236" s="68"/>
      <c r="E236" s="3"/>
      <c r="F236" s="23"/>
      <c r="G236" s="24"/>
      <c r="H236" s="24"/>
      <c r="I236" s="24"/>
      <c r="J236" s="24"/>
      <c r="K236" s="24"/>
      <c r="L236" s="24"/>
      <c r="M236" s="24"/>
      <c r="N236" s="25"/>
      <c r="O236" s="25"/>
      <c r="P236" s="25"/>
      <c r="Q236" s="25"/>
      <c r="R236" s="25"/>
      <c r="S236" s="33"/>
    </row>
    <row r="237" spans="1:19" ht="80.25" customHeight="1" x14ac:dyDescent="0.3">
      <c r="A237" s="2"/>
      <c r="B237" s="69"/>
      <c r="C237" s="2"/>
      <c r="D237" s="57"/>
      <c r="E237" s="2"/>
      <c r="F237" s="8"/>
      <c r="G237" s="9"/>
      <c r="H237" s="9"/>
      <c r="I237" s="9"/>
      <c r="J237" s="9"/>
      <c r="K237" s="65"/>
      <c r="L237" s="9"/>
      <c r="M237" s="9"/>
      <c r="N237" s="9"/>
      <c r="O237" s="9"/>
      <c r="P237" s="9"/>
      <c r="Q237" s="9"/>
      <c r="R237" s="9"/>
      <c r="S237" s="32"/>
    </row>
    <row r="238" spans="1:19" x14ac:dyDescent="0.3">
      <c r="A238" s="2"/>
      <c r="B238" s="2"/>
      <c r="C238" s="2"/>
      <c r="D238" s="5"/>
      <c r="E238" s="2"/>
      <c r="F238" s="8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27"/>
    </row>
    <row r="239" spans="1:19" x14ac:dyDescent="0.3">
      <c r="A239" s="2"/>
      <c r="C239" s="2"/>
      <c r="D239" s="56"/>
      <c r="E239" s="62"/>
      <c r="F239" s="26"/>
      <c r="G239" s="27"/>
      <c r="H239" s="9"/>
      <c r="I239" s="27"/>
      <c r="J239" s="9"/>
      <c r="K239" s="9"/>
      <c r="L239" s="9"/>
      <c r="M239" s="9"/>
      <c r="N239" s="9"/>
      <c r="O239" s="9"/>
      <c r="P239" s="9"/>
      <c r="Q239" s="9"/>
      <c r="R239" s="9"/>
      <c r="S239" s="27"/>
    </row>
    <row r="240" spans="1:19" x14ac:dyDescent="0.3">
      <c r="A240" s="2"/>
      <c r="B240" s="2"/>
      <c r="C240" s="2"/>
      <c r="D240" s="71"/>
      <c r="E240" s="62"/>
      <c r="F240" s="26"/>
      <c r="G240" s="27"/>
      <c r="H240" s="9"/>
      <c r="I240" s="27"/>
      <c r="J240" s="9"/>
      <c r="K240" s="9"/>
      <c r="L240" s="9"/>
      <c r="M240" s="9"/>
      <c r="N240" s="9"/>
      <c r="O240" s="9"/>
      <c r="P240" s="9"/>
      <c r="Q240" s="9"/>
      <c r="R240" s="9"/>
      <c r="S240" s="27"/>
    </row>
    <row r="241" spans="1:19" x14ac:dyDescent="0.3">
      <c r="A241" s="81"/>
      <c r="B241" s="11"/>
      <c r="C241" s="2"/>
      <c r="D241" s="5"/>
      <c r="E241" s="2"/>
      <c r="F241" s="28"/>
      <c r="G241" s="8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</row>
    <row r="242" spans="1:19" x14ac:dyDescent="0.3">
      <c r="A242" s="81"/>
      <c r="B242" s="2"/>
      <c r="C242" s="2"/>
      <c r="D242" s="1"/>
      <c r="E242" s="2"/>
      <c r="F242" s="28"/>
      <c r="G242" s="8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</row>
    <row r="243" spans="1:19" x14ac:dyDescent="0.3">
      <c r="A243" s="80"/>
      <c r="B243" s="2"/>
      <c r="C243" s="2"/>
      <c r="D243" s="55"/>
      <c r="E243" s="2"/>
      <c r="F243" s="28"/>
      <c r="G243" s="8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7 I167 I177 I187 I196 I206 I216 I226 I236" xr:uid="{505D0C23-04E0-420C-A627-F95C3FFA1E8F}">
      <formula1>$I$119:$I$120</formula1>
    </dataValidation>
    <dataValidation type="list" allowBlank="1" showInputMessage="1" showErrorMessage="1" sqref="J140 J157 J167 J177 J187 J196 J206 J216 J226 J236" xr:uid="{4F6CBB78-21C3-4543-99C6-0B7D30475C51}">
      <formula1>$J$117:$J$120</formula1>
    </dataValidation>
    <dataValidation type="list" allowBlank="1" showInputMessage="1" showErrorMessage="1" sqref="F140 F157 F167 F177 F187 F196 F206 F216 F226 F236" xr:uid="{63DC98B9-08EF-4FD2-9048-2D05E3539D09}">
      <formula1>$F$105:$F$120</formula1>
    </dataValidation>
    <dataValidation type="list" allowBlank="1" showInputMessage="1" showErrorMessage="1" sqref="G140 G157 G167 G177 G187 G196 G206 G216 G226 G236" xr:uid="{12A8097F-2264-4351-A04A-54C5623DE4DD}">
      <formula1>$G$109:$G$120</formula1>
    </dataValidation>
    <dataValidation type="list" allowBlank="1" showInputMessage="1" showErrorMessage="1" sqref="H140 H157 H167 H177 H187 H196 H206 H216 H226 H236" xr:uid="{759F49A8-0C03-471B-8F32-5F23EF37A12B}">
      <formula1>$H$115:$H$120</formula1>
    </dataValidation>
    <dataValidation type="list" allowBlank="1" showInputMessage="1" showErrorMessage="1" sqref="K140 K157 K167 K177 K187 K196 K206 K216 K226 K236" xr:uid="{D5AA92FF-0988-4EB5-957F-D124D5F22112}">
      <formula1>$K$113:$K$120</formula1>
    </dataValidation>
    <dataValidation type="list" allowBlank="1" showInputMessage="1" showErrorMessage="1" sqref="P140 P157 P167 P177 P187 P196 P206 P216 P226 P236" xr:uid="{6AA91DCC-EA09-42D6-A9DF-9EE0A37B23AE}">
      <formula1>$P$115:$P$120</formula1>
    </dataValidation>
    <dataValidation type="list" allowBlank="1" showInputMessage="1" showErrorMessage="1" sqref="N140 N157 N167 N177 N187 N196 N206 N216 N226 N236" xr:uid="{8C694FB3-3F60-43C4-9F76-1B6E4B6B1FFC}">
      <formula1>$N$4:$N$120</formula1>
    </dataValidation>
    <dataValidation type="list" allowBlank="1" showInputMessage="1" showErrorMessage="1" sqref="O140 O157 O167 O177 O187 O196 O206 O216 O226 O236" xr:uid="{80B30B22-4088-4328-9EF1-7DE9AC124017}">
      <formula1>$O$118:$O$120</formula1>
    </dataValidation>
    <dataValidation type="list" allowBlank="1" showInputMessage="1" showErrorMessage="1" sqref="Q140 Q157 Q167 Q177 Q187 Q196 Q206 Q216 Q226 Q236" xr:uid="{A61B095E-F5B9-4647-9C68-26110404E17B}">
      <formula1>$Q$118:$Q$120</formula1>
    </dataValidation>
    <dataValidation type="list" allowBlank="1" showInputMessage="1" showErrorMessage="1" sqref="M140 M157 M167 M177 M187 M196 M206 M216 M226 M236" xr:uid="{C50C71BD-B445-4BB5-97CF-DD8B18B63E95}">
      <formula1>$M$120</formula1>
    </dataValidation>
    <dataValidation type="list" allowBlank="1" showInputMessage="1" showErrorMessage="1" sqref="L140 L157 L167 L177 L187 L196 L206 L216 L226 L236" xr:uid="{089E784A-BE41-4977-8375-75A230BE09E1}">
      <formula1>$L$117:$L$120</formula1>
    </dataValidation>
    <dataValidation type="list" showInputMessage="1" showErrorMessage="1" errorTitle="Invalid Data" error="Use data from drop down menu" sqref="G244:I1048576 G156:I156 N156:O156 N205:O205 G205:I205 N244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6:Q156 P205:Q205 P244:Q1048576" xr:uid="{9EB769B6-9D39-4A77-A565-6FAF6B61B6D3}">
      <formula1>#REF!</formula1>
    </dataValidation>
    <dataValidation type="list" allowBlank="1" showInputMessage="1" showErrorMessage="1" sqref="N177 N226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9"/>
  <sheetViews>
    <sheetView zoomScale="80" zoomScaleNormal="80" workbookViewId="0">
      <selection activeCell="B9" sqref="B9"/>
    </sheetView>
  </sheetViews>
  <sheetFormatPr defaultRowHeight="14.4" x14ac:dyDescent="0.3"/>
  <cols>
    <col min="2" max="2" width="8.88671875" style="85"/>
    <col min="3" max="3" width="79.88671875" style="85" customWidth="1"/>
    <col min="4" max="4" width="103.6640625" customWidth="1"/>
    <col min="6" max="6" width="65.21875" customWidth="1"/>
  </cols>
  <sheetData>
    <row r="2" spans="2:6" x14ac:dyDescent="0.3">
      <c r="B2" s="84" t="s">
        <v>218</v>
      </c>
      <c r="C2" s="84" t="s">
        <v>219</v>
      </c>
      <c r="D2" s="83" t="s">
        <v>220</v>
      </c>
    </row>
    <row r="3" spans="2:6" ht="72" x14ac:dyDescent="0.3">
      <c r="B3" s="87">
        <v>2523709</v>
      </c>
      <c r="C3" s="88" t="s">
        <v>223</v>
      </c>
      <c r="D3" s="88" t="s">
        <v>230</v>
      </c>
      <c r="F3" s="62"/>
    </row>
    <row r="5" spans="2:6" ht="72" x14ac:dyDescent="0.3">
      <c r="B5" s="87">
        <v>2523710</v>
      </c>
      <c r="C5" s="88" t="s">
        <v>224</v>
      </c>
      <c r="D5" s="88" t="s">
        <v>229</v>
      </c>
    </row>
    <row r="7" spans="2:6" ht="28.8" x14ac:dyDescent="0.3">
      <c r="B7" s="86">
        <v>2253611</v>
      </c>
      <c r="C7" s="86" t="s">
        <v>225</v>
      </c>
      <c r="D7" s="89" t="s">
        <v>227</v>
      </c>
    </row>
    <row r="9" spans="2:6" ht="28.8" x14ac:dyDescent="0.3">
      <c r="B9" s="86">
        <v>2558058</v>
      </c>
      <c r="C9" s="86" t="s">
        <v>226</v>
      </c>
      <c r="D9" s="89" t="s">
        <v>228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Sys_DriverInterfaceDevice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2026-08-21T09:17:18Z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