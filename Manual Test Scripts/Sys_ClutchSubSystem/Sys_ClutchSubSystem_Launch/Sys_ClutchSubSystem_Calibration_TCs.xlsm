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aunch\"/>
    </mc:Choice>
  </mc:AlternateContent>
  <xr:revisionPtr revIDLastSave="0" documentId="13_ncr:1_{6123EF41-B4E6-4418-8579-8404C9ECA80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ys_ClutchSubSystem_522_13" sheetId="3" r:id="rId1"/>
    <sheet name="Requirements" sheetId="4" r:id="rId2"/>
  </sheets>
  <definedNames>
    <definedName name="_xlnm._FilterDatabase" localSheetId="0" hidden="1">Sys_ClutchSubSystem_522_13!$A$139:$N$139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<sst xmlns="http://schemas.openxmlformats.org/spreadsheetml/2006/main" count="310" uniqueCount="242">
  <si>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</si>
  <si>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</si>
  <si>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</si>
  <si>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</si>
  <si>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</si>
  <si>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</si>
  <si>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</si>
  <si>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</si>
  <si>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</si>
  <si>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</si>
  <si>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</si>
  <si>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</si>
  <si>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</si>
  <si>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</si>
  <si>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</si>
  <si>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</si>
  <si>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</si>
  <si>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</si>
  <si>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</si>
  <si>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</si>
  <si>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</si>
  <si>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</si>
  <si>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</si>
  <si>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</si>
  <si>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</si>
  <si>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</si>
  <si>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</si>
  <si>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</si>
  <si>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</si>
  <si>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</si>
  <si>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</si>
  <si>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</si>
  <si>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</si>
  <si>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</si>
  <si>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</si>
  <si>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</si>
  <si>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</si>
  <si>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</si>
  <si>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</si>
  <si>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</si>
  <si>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</si>
  <si>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</si>
  <si>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</si>
  <si>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</si>
  <si>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</si>
  <si>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</si>
  <si>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</si>
  <si>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</si>
  <si>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</si>
  <si>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</si>
  <si>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</si>
  <si>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</si>
  <si>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</si>
  <si>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</si>
  <si>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</si>
  <si>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</si>
  <si>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</si>
  <si>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</si>
  <si>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</si>
  <si>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</si>
  <si>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</si>
  <si>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</si>
  <si>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</si>
  <si>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</si>
  <si>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</si>
  <si>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</si>
  <si>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</si>
  <si>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</si>
  <si>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</si>
  <si>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</si>
  <si>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</si>
  <si>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</si>
  <si>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</si>
  <si>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</si>
  <si>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</si>
  <si>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</si>
  <si>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</si>
  <si>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</si>
  <si>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</si>
  <si>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</si>
  <si>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</si>
  <si>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</si>
  <si>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</si>
  <si>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</si>
  <si>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</si>
  <si>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</si>
  <si>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</si>
  <si>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</si>
  <si>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</si>
  <si>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</si>
  <si>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</si>
  <si>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</si>
  <si>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</si>
  <si>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</si>
  <si>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</si>
  <si>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</si>
  <si>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</si>
  <si>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</si>
  <si>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</si>
  <si>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</si>
  <si>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</si>
  <si>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</si>
  <si>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</si>
  <si>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</si>
  <si>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</si>
  <si>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</si>
  <si>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</si>
  <si>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</si>
  <si>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</si>
  <si>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</si>
  <si>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</si>
  <si>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</si>
  <si>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</si>
  <si>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</si>
  <si>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</si>
  <si>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</si>
  <si>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</si>
  <si>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</si>
  <si>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</si>
  <si>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</si>
  <si>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</si>
  <si>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</si>
  <si>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</si>
  <si>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</si>
  <si>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</si>
  <si>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</si>
  <si>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</si>
  <si>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</si>
  <si>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</si>
  <si>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</si>
  <si>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</si>
  <si>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</si>
  <si>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</si>
  <si>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</si>
  <si>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</si>
  <si>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</si>
  <si>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</si>
  <si>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</si>
  <si>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</si>
  <si>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</si>
  <si>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</si>
  <si>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</si>
  <si>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</si>
  <si>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</si>
  <si>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</si>
  <si>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</si>
  <si>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</si>
  <si>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</si>
  <si>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</si>
  <si>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</si>
  <si>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</si>
  <si>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</si>
  <si>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</si>
  <si>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</si>
  <si>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</si>
  <si>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</si>
  <si>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</si>
  <si>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</si>
  <si>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</si>
  <si>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</si>
  <si>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</si>
  <si>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</si>
  <si>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</si>
  <si>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</si>
  <si>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</si>
  <si>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</si>
  <si>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</si>
  <si>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</si>
  <si>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</si>
  <si>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</si>
  <si>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</si>
  <si>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</si>
  <si>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</si>
  <si>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</si>
  <si>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</si>
  <si>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</si>
  <si>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</si>
  <si>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</si>
  <si>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</si>
  <si>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</si>
  <si>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</si>
  <si>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</si>
  <si>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</si>
  <si>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</si>
  <si>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</si>
  <si>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</si>
  <si>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</si>
  <si>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</si>
  <si>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</si>
  <si>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</si>
  <si>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</si>
  <si>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</si>
  <si>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</si>
  <si>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</si>
  <si>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</si>
  <si>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</si>
  <si>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</si>
  <si>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</si>
  <si>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</si>
  <si>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</si>
  <si>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</si>
  <si>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</si>
  <si>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</si>
  <si>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</si>
  <si>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</si>
  <si>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</si>
  <si>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</si>
  <si>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</si>
  <si>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</si>
  <si>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</si>
  <si>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</si>
  <si>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</si>
  <si>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</si>
  <si>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</si>
  <si>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</si>
  <si>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</si>
  <si>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</si>
  <si>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</si>
  <si>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</si>
  <si>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</si>
  <si>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</si>
  <si>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Id</t>
  </si>
  <si>
    <t>Content</t>
  </si>
  <si>
    <t>Condition</t>
  </si>
  <si>
    <t>2491115
2491117</t>
  </si>
  <si>
    <t>ADV_Full_200_1_Sys_ClutchSubSystem_Functional_SPN522_FMI13_CluFault_VehicleMoving</t>
  </si>
  <si>
    <t>The system shall send DM1, when Clutch Out of Calibration fault is detected and matured:
- SPN 522
- FMI 13
The system shall detect Clutch Out of Calibration fault when all the following conditions are met:
- Clutch calibration is NOT valid.</t>
  </si>
  <si>
    <t>Collect the following
XCP with 10 ms cyclic:
OprFootOnBrakePedal
OprFootOnAccelPedal
OprPRNDLSelect
OprPRNDL
AMTCurrentGear
AMTSelectedGear
AMTShiftState
EngineSpeed
VehSpeed
ECU.CluPosition
ECU.CluPositionCmd
ECU.CluClosedPos
ECU.HWfl_CluCoarseFill
ECU.HWfl_CluFineFill
ECU.HWfl_CluCoarseExh
ECU.HWfl_CluFineExh
ECU.HWfl_CluCylPress
ECU.LcaModeCmd
ECU.CluCylPress
ECU.CluLinePressAcceptable
ECU.HWfl_CluCoarseFillStuckOpen
ECU.HWfl_CluFineFillStuckOpen
ECU.HWfl_CluCoarseExhStuckOpen
ECU.HWfl_CluFineExhStuckOpen
ECU.CluTtTpPositionDelta
ECU.CluTtTpValid
ECU.CluIsAdjusted
ECU.HWsr_WakeUp
ECU.CluCoarseFillStuckOpenMonitor
ECU.CluFineFillStuckOpenMonitor
ECU.CluCoarseExhStuckOpenMonitor
ECU.CluFineExhStuckOpenMonitor
ECU.OprDownshiftsOnly
ECU.OprCurrentGearOnly
ECU.AMTCurrentOnly
ECU.AMTNeutralOnly
ECU.AMTSensorRemainInPlace
ECU.OprDownshiftToNeutralFlag
ECU.OprDownShiftToNeutralDM
ECU.AMTRemainInPlace
ECU.OprFuelInhibitDegradedMode
ECU.OprProtectionNeutralActive
ECU.OprTSC1ControlPurposeP5EngProt
ECU.OprCDSOnly
ECU.TC_HWfl_CluCoarseFillStuckOpen
ECU.TO_HWfl_CluCoarseFillStuckOpen
ECU.TC_HWfl_CluFineFillStuckOpen
ECU.TO_HWfl_CluFineFillStuckOpen
ECU.TC_HWfl_CluCoarseExhStuckOpen
ECU.TO_HWfl_CluCoarseExhStuckOpen
ECU.TC_HWfl_CluFineExhStuckOpen
ECU.TO_HWfl_CluFineExhStuckOpen
ECU.WWD_C_EnableWdgReset
ECU.TC_ClutchMode
ECU.TO_ClutchMode
ECU.TC_CluIsAdjusted
ECU.TO_CluIsAdjusted
SET TE.Battery = 24000 (mV)
SET TE.Ignition = 24000 (mV)
SET VEH.Engine = ON
#Summary:
1. Set battery power and ignition to 24V, then start engine</t>
  </si>
  <si>
    <t>SET VEH.ServiceBrake = OFF
SET VEH.AccelPedal = ON
WAIT VEH.CurrentGear = Default forward start gear + 1
SET ECU.TC_CluIsAdjusted = 0
SET ECU.TO_CluIsAdjusted = 1
VERIFY EXPECTED RESULTS
#Summary
1. Release brake pedal.
2. Apply accelerator pedal.
3. Obtain an upshift.
4. Override TC_CluIsAdjusted in order to induce fault, wait 1 second and check expected results</t>
  </si>
  <si>
    <t>VERIFY VEH.CurrentGear = Default forward start gear + 1</t>
  </si>
  <si>
    <t xml:space="preserve">SET VEH.AccelPedal = ON
(optional) SET VEH.UpButton = 1
#Summary
1. Try to upshift (upshifts are prohibited)
2. (optional) Try using upshift button </t>
  </si>
  <si>
    <t>SET VEH.AccelPedal = OFF
SET VEH.ServiceBrake = ON
SET VEH.PRNDL = Neutral (0)
SET ECU.TO_CluIsAdjusted = 0
VERIFY EXPECTED RESULTS
#Summary
1. Release accelerator pedal.
2. Bring vehicle to a stop and select Neutral Mode. Confirm Neutral is accepted.
3. Disable override, wait 2 seconds and allow system for recalibration of clutch.</t>
  </si>
  <si>
    <t>ZP-31096</t>
  </si>
  <si>
    <t>VERIFY [
        J1939.DM1.SPN522_FMI = OFF
        J1939.DM1.AmberWarningLampStatus = Lamp OFF
        J1939.DM1.RedStopLampState = Lamp OFF
        ECU.OprDownshiftsOnly = 0
        ECU.OprCurrentGearOnly = 0
        ECU.AMTCurrentOnly = 0
        ECU.AMTNeutralOnly = 1
        ECU.AMTSensorRemainInPlace = 0
        ECU.OprDownshiftToNeutralFlag = 0
        ECU.OprDownShiftToNeutralDM = 0
        ECU.AMTRemainInPlace = 0
        ECU.OprFuelInhibitDegradedMode = 0
        ECU.OprProtectionNeutralActive = 0
        ECU.OprTSC1ControlPurposeP5EngProt = 0
        ECU.OprCDSOnly = 0
 ]</t>
  </si>
  <si>
    <t>VERIFY [
        J1939.DM1.SPN522_FMI = 13
        J1939.DM1.AmberWarningLampStatus = Lamp ON
        J1939.DM1.RedStopLampState = Lamp OFF
        ECU.OprDownshiftsOnly = 0
        ECU.OprCurrentGearOnly = 0
        ECU.AMTCurrentOnly = 0
        ECU.AMTNeutralOnly = 1
        ECU.AMTSensorRemainInPlace = 0
        ECU.OprDownshiftToNeutralFlag = 0
        ECU.OprDownShiftToNeutralDM = 0
        ECU.AMTRemainInPlace = 0
        ECU.OprFuelInhibitDegradedMode = 0
        ECU.OprProtectionNeutralActive = 0
        ECU.OprTSC1ControlPurposeP5EngProt = 0
        ECU.OprCDSOnly = 0 
]</t>
  </si>
  <si>
    <t>The system shall send DM1, when Clutch Out of Calibration fault is detected and matured:
- SPN 522
- FMI 13</t>
  </si>
  <si>
    <t>The system shall detect Clutch Out of Calibration fault when all the following conditions are met:
- Clutch calibration is NOT valid.</t>
  </si>
  <si>
    <t>ADV_Full_200_1_Sys_ClutchSubSystem_Functional_SPN522_FMI13_CluFault_VehicleStopped</t>
  </si>
  <si>
    <t>SET VEH.ServiceBrake = OFF
SET VEH.AccelPedal = ON
WAIT VEH.CurrentGear = Default forward start gear + 1
SET ECU.TC_CluIsAdjusted = 0
SET ECU.TO_CluIsAdjusted = 1
VERIFY EXPECTED RESULTS
#Summary
1. Override TC_CluIsAdjusted in order to induce fault, wait 1 second and check expected results</t>
  </si>
  <si>
    <t>VERIFY VEH.CurrentGear = 0</t>
  </si>
  <si>
    <t>SET VEH.ServiceBrake = ON
SET VEH.PRNDL = Drive (1)
WAIT 2 seconds
SET VEH.PRNDL = Reverse (-1)
WAIT 2 seconds
#Summary
1. Try to engage drive and reverse modes (changing mode should be prohibited)</t>
  </si>
  <si>
    <t>SET VEH.ServiceBrake = OFF
SET VEH.PRNDL = Neutral (0)
SET ECU.TO_CluIsAdjusted = 0
VERIFY EXPECTED RESULTS
#Summary
1. Select Neutral Mode. Confirm Neutral is accepted.
2. Disable override, wait 2 seconds and allow system for recalibration of clutch.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</si>
</sst>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 wrapText="1"/>
    </xf>
    <xf numFmtId="49" fontId="13" fillId="0" borderId="0" xfId="0" applyNumberFormat="1" applyFont="1" applyAlignment="1">
      <alignment horizontal="left" vertical="center" wrapText="1"/>
    </xf>
    <xf numFmtId="0" fontId="15" fillId="0" borderId="0" xfId="0" applyFont="1" applyAlignment="1">
      <alignment horizontal="right" vertical="center" wrapText="1"/>
    </xf>
    <xf numFmtId="49" fontId="16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right" vertical="center" wrapText="1"/>
    </xf>
    <xf numFmtId="49" fontId="18" fillId="0" borderId="0" xfId="0" applyNumberFormat="1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49" fontId="20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1" fillId="13" borderId="1" xfId="0" applyFont="1" applyFill="1" applyBorder="1" applyAlignment="1" applyProtection="1">
      <alignment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1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1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1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1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1" fillId="0" borderId="1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3"/>
  <sheetViews>
    <sheetView showGridLines="0" tabSelected="1" topLeftCell="A148" zoomScale="60" zoomScaleNormal="60" workbookViewId="0">
      <selection activeCell="E151" sqref="E151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214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6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6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7" t="s">
        <v>72</v>
      </c>
      <c r="H137"/>
      <c r="I137"/>
      <c r="J137" s="46"/>
      <c r="K137"/>
      <c r="M137"/>
      <c r="N137" s="89" t="s">
        <v>73</v>
      </c>
      <c r="P137"/>
      <c r="Q137"/>
      <c r="R137" s="91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8"/>
      <c r="H138"/>
      <c r="I138"/>
      <c r="J138" s="46"/>
      <c r="K138"/>
      <c r="M138"/>
      <c r="N138" s="90"/>
      <c r="P138"/>
      <c r="R138" s="92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224</v>
      </c>
      <c r="B140" s="82" t="s">
        <v>225</v>
      </c>
      <c r="C140" s="54" t="s">
        <v>226</v>
      </c>
      <c r="D140" s="68" t="s">
        <v>227</v>
      </c>
      <c r="E140" s="3" t="s">
        <v>219</v>
      </c>
      <c r="F140" s="23" t="s">
        <v>215</v>
      </c>
      <c r="G140" s="24" t="s">
        <v>218</v>
      </c>
      <c r="H140" s="24" t="s">
        <v>213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140</v>
      </c>
      <c r="O140" s="25" t="s">
        <v>204</v>
      </c>
      <c r="P140" s="25" t="s">
        <v>37</v>
      </c>
      <c r="Q140" s="25" t="s">
        <v>208</v>
      </c>
      <c r="R140" s="25" t="s">
        <v>232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219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80" customHeight="1" x14ac:dyDescent="0.3">
      <c r="A142" s="2"/>
      <c r="C142" s="2"/>
      <c r="D142" s="56" t="s">
        <v>220</v>
      </c>
      <c r="E142" s="62" t="s">
        <v>219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271.2" customHeight="1" x14ac:dyDescent="0.3">
      <c r="A143" s="2"/>
      <c r="B143" s="2"/>
      <c r="C143" s="2"/>
      <c r="D143" s="71" t="s">
        <v>228</v>
      </c>
      <c r="E143" s="62" t="s">
        <v>234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18.8" customHeight="1" x14ac:dyDescent="0.3">
      <c r="A144" s="2"/>
      <c r="B144" s="2"/>
      <c r="C144" s="2"/>
      <c r="D144" s="71" t="s">
        <v>230</v>
      </c>
      <c r="E144" s="62" t="s">
        <v>229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244.8" x14ac:dyDescent="0.3">
      <c r="A145" s="2"/>
      <c r="B145" s="2"/>
      <c r="C145" s="2"/>
      <c r="D145" s="71" t="s">
        <v>231</v>
      </c>
      <c r="E145" s="62" t="s">
        <v>233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x14ac:dyDescent="0.3">
      <c r="A146" s="2"/>
      <c r="B146" s="2"/>
      <c r="C146" s="2"/>
      <c r="D146" s="5" t="s">
        <v>64</v>
      </c>
      <c r="E146" s="2" t="s">
        <v>219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x14ac:dyDescent="0.3">
      <c r="A147" s="75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6"/>
    </row>
    <row r="148" spans="1:19" ht="406.2" customHeight="1" x14ac:dyDescent="0.3">
      <c r="A148" s="2" t="s">
        <v>224</v>
      </c>
      <c r="B148" s="82" t="s">
        <v>237</v>
      </c>
      <c r="C148" s="54" t="s">
        <v>226</v>
      </c>
      <c r="D148" s="68" t="s">
        <v>227</v>
      </c>
      <c r="E148" s="3" t="s">
        <v>219</v>
      </c>
      <c r="F148" s="23" t="s">
        <v>215</v>
      </c>
      <c r="G148" s="24" t="s">
        <v>218</v>
      </c>
      <c r="H148" s="24" t="s">
        <v>213</v>
      </c>
      <c r="I148" s="24" t="s">
        <v>36</v>
      </c>
      <c r="J148" s="24" t="s">
        <v>38</v>
      </c>
      <c r="K148" s="24" t="s">
        <v>44</v>
      </c>
      <c r="L148" s="24" t="s">
        <v>210</v>
      </c>
      <c r="M148" s="24" t="s">
        <v>212</v>
      </c>
      <c r="N148" s="25" t="s">
        <v>140</v>
      </c>
      <c r="O148" s="25" t="s">
        <v>204</v>
      </c>
      <c r="P148" s="25" t="s">
        <v>37</v>
      </c>
      <c r="Q148" s="25" t="s">
        <v>208</v>
      </c>
      <c r="R148" s="25" t="s">
        <v>232</v>
      </c>
      <c r="S148" s="33"/>
    </row>
    <row r="149" spans="1:19" x14ac:dyDescent="0.3">
      <c r="A149" s="2"/>
      <c r="B149" s="2"/>
      <c r="C149" s="2"/>
      <c r="D149" s="5" t="s">
        <v>63</v>
      </c>
      <c r="E149" s="2" t="s">
        <v>219</v>
      </c>
      <c r="F149" s="8"/>
      <c r="G149" s="9"/>
      <c r="H149" s="9"/>
      <c r="I149" s="9"/>
      <c r="J149" s="9"/>
      <c r="K149" s="65"/>
      <c r="L149" s="9"/>
      <c r="M149" s="9"/>
      <c r="N149" s="9"/>
      <c r="O149" s="9"/>
      <c r="P149" s="9"/>
      <c r="Q149" s="9"/>
      <c r="R149" s="9"/>
      <c r="S149" s="32"/>
    </row>
    <row r="150" spans="1:19" ht="244.8" x14ac:dyDescent="0.3">
      <c r="A150" s="2"/>
      <c r="B150" s="2"/>
      <c r="C150" s="2"/>
      <c r="D150" s="71" t="s">
        <v>238</v>
      </c>
      <c r="E150" s="62" t="s">
        <v>234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115.2" x14ac:dyDescent="0.3">
      <c r="A151" s="2"/>
      <c r="B151" s="2"/>
      <c r="C151" s="2"/>
      <c r="D151" s="71" t="s">
        <v>240</v>
      </c>
      <c r="E151" s="62" t="s">
        <v>239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244.8" x14ac:dyDescent="0.3">
      <c r="A152" s="2"/>
      <c r="B152" s="2"/>
      <c r="C152" s="2"/>
      <c r="D152" s="71" t="s">
        <v>241</v>
      </c>
      <c r="E152" s="62" t="s">
        <v>233</v>
      </c>
      <c r="F152" s="26"/>
      <c r="G152" s="27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2"/>
      <c r="B153" s="2"/>
      <c r="C153" s="2"/>
      <c r="D153" s="5" t="s">
        <v>64</v>
      </c>
      <c r="E153" s="2" t="s">
        <v>219</v>
      </c>
      <c r="F153" s="26"/>
      <c r="G153" s="27"/>
      <c r="H153" s="9"/>
      <c r="I153" s="27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x14ac:dyDescent="0.3">
      <c r="A154" s="2"/>
      <c r="B154" s="2"/>
      <c r="C154" s="2"/>
      <c r="D154" s="1"/>
      <c r="E154" s="2"/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B155" s="2"/>
      <c r="C155" s="2"/>
      <c r="D155" s="55"/>
      <c r="E155" s="2"/>
      <c r="F155" s="26"/>
      <c r="G155" s="28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7"/>
      <c r="B156" s="4"/>
      <c r="C156" s="4"/>
      <c r="D156" s="4"/>
      <c r="E156" s="4"/>
      <c r="F156" s="29"/>
      <c r="G156" s="29"/>
      <c r="H156" s="12"/>
      <c r="I156" s="29"/>
      <c r="J156" s="12"/>
      <c r="K156" s="12"/>
      <c r="L156" s="12"/>
      <c r="M156" s="12"/>
      <c r="N156" s="12"/>
      <c r="O156" s="12"/>
      <c r="P156" s="12"/>
      <c r="Q156" s="12"/>
      <c r="R156" s="12"/>
      <c r="S156" s="29"/>
    </row>
    <row r="157" spans="1:19" x14ac:dyDescent="0.3">
      <c r="A157" s="2"/>
      <c r="B157" s="77"/>
      <c r="C157" s="54"/>
      <c r="D157" s="68"/>
      <c r="E157" s="3"/>
      <c r="F157" s="23"/>
      <c r="G157" s="24"/>
      <c r="H157" s="24"/>
      <c r="I157" s="24"/>
      <c r="J157" s="24"/>
      <c r="K157" s="24"/>
      <c r="L157" s="24"/>
      <c r="M157" s="24"/>
      <c r="N157" s="25"/>
      <c r="O157" s="25"/>
      <c r="P157" s="25"/>
      <c r="Q157" s="25"/>
      <c r="R157" s="25"/>
      <c r="S157" s="33"/>
    </row>
    <row r="158" spans="1:19" ht="87.75" customHeight="1" x14ac:dyDescent="0.3">
      <c r="A158" s="2"/>
      <c r="B158" s="3"/>
      <c r="C158" s="60"/>
      <c r="D158" s="57"/>
      <c r="E158" s="2"/>
      <c r="F158" s="8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32"/>
    </row>
    <row r="159" spans="1:19" x14ac:dyDescent="0.3">
      <c r="A159" s="2"/>
      <c r="B159" s="2"/>
      <c r="C159" s="2"/>
      <c r="D159" s="5"/>
      <c r="E159" s="2"/>
      <c r="F159" s="8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ht="395.25" customHeight="1" x14ac:dyDescent="0.3">
      <c r="A160" s="2"/>
      <c r="B160" s="2"/>
      <c r="C160" s="2"/>
      <c r="D160" s="59"/>
      <c r="E160" s="78"/>
      <c r="F160" s="8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2"/>
      <c r="B161" s="2"/>
      <c r="C161" s="61"/>
      <c r="D161" s="59"/>
      <c r="E161" s="62"/>
      <c r="F161" s="8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2"/>
      <c r="B162" s="2"/>
      <c r="C162" s="2"/>
      <c r="D162" s="56"/>
      <c r="E162" s="78"/>
      <c r="F162" s="8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2"/>
      <c r="D163" s="5"/>
      <c r="E163" s="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1"/>
      <c r="E164" s="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5"/>
      <c r="E165" s="2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7"/>
      <c r="B166" s="4"/>
      <c r="C166" s="4"/>
      <c r="D166" s="4"/>
      <c r="E166" s="4"/>
      <c r="F166" s="29"/>
      <c r="G166" s="29"/>
      <c r="H166" s="12"/>
      <c r="I166" s="29"/>
      <c r="J166" s="12"/>
      <c r="K166" s="12"/>
      <c r="L166" s="12"/>
      <c r="M166" s="12"/>
      <c r="N166" s="12"/>
      <c r="O166" s="12"/>
      <c r="P166" s="12"/>
      <c r="Q166" s="12"/>
      <c r="R166" s="12"/>
      <c r="S166" s="29"/>
    </row>
    <row r="167" spans="1:19" x14ac:dyDescent="0.3">
      <c r="A167" s="2"/>
      <c r="B167" s="70"/>
      <c r="C167" s="54"/>
      <c r="D167" s="68"/>
      <c r="E167" s="3"/>
      <c r="F167" s="23"/>
      <c r="G167" s="24"/>
      <c r="H167" s="24"/>
      <c r="I167" s="24"/>
      <c r="J167" s="24"/>
      <c r="K167" s="24"/>
      <c r="L167" s="24"/>
      <c r="M167" s="24"/>
      <c r="N167" s="25"/>
      <c r="O167" s="25"/>
      <c r="P167" s="25"/>
      <c r="Q167" s="25"/>
      <c r="R167" s="25"/>
      <c r="S167" s="33"/>
    </row>
    <row r="168" spans="1:19" ht="81.75" customHeight="1" x14ac:dyDescent="0.3">
      <c r="A168" s="10"/>
      <c r="B168" s="2"/>
      <c r="C168" s="2"/>
      <c r="D168" s="57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32"/>
    </row>
    <row r="169" spans="1:19" x14ac:dyDescent="0.3">
      <c r="A169" s="10"/>
      <c r="B169" s="2"/>
      <c r="C169" s="2"/>
      <c r="D169" s="5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10"/>
      <c r="B170" s="56"/>
      <c r="C170" s="58"/>
      <c r="D170" s="56"/>
      <c r="E170" s="78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10"/>
      <c r="B171" s="59"/>
      <c r="C171" s="62"/>
      <c r="D171" s="59"/>
      <c r="E171" s="6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ht="28.8" x14ac:dyDescent="0.3">
      <c r="A172" s="10"/>
      <c r="B172" s="56"/>
      <c r="C172" s="63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11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x14ac:dyDescent="0.3">
      <c r="A174" s="2"/>
      <c r="B174" s="2"/>
      <c r="C174" s="2"/>
      <c r="D174" s="28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2"/>
      <c r="B175" s="2"/>
      <c r="C175" s="2"/>
      <c r="D175" s="5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79"/>
      <c r="B176" s="7"/>
      <c r="C176" s="4"/>
      <c r="D176" s="4"/>
      <c r="E176" s="4"/>
      <c r="F176" s="4"/>
      <c r="G176" s="29"/>
      <c r="H176" s="29"/>
      <c r="I176" s="12"/>
      <c r="J176" s="29"/>
      <c r="K176" s="12"/>
      <c r="L176" s="12"/>
      <c r="M176" s="12"/>
      <c r="N176" s="12"/>
      <c r="O176" s="12"/>
      <c r="P176" s="12"/>
      <c r="Q176" s="12"/>
      <c r="R176" s="12"/>
      <c r="S176" s="12"/>
    </row>
    <row r="177" spans="1:19" x14ac:dyDescent="0.3">
      <c r="A177" s="2"/>
      <c r="B177" s="70"/>
      <c r="C177" s="54"/>
      <c r="D177" s="68"/>
      <c r="E177" s="3"/>
      <c r="F177" s="23"/>
      <c r="G177" s="24"/>
      <c r="H177" s="24"/>
      <c r="I177" s="24"/>
      <c r="J177" s="24"/>
      <c r="K177" s="24"/>
      <c r="L177" s="24"/>
      <c r="M177" s="24"/>
      <c r="N177" s="25"/>
      <c r="O177" s="25"/>
      <c r="P177" s="25"/>
      <c r="Q177" s="25"/>
      <c r="R177" s="25"/>
      <c r="S177" s="33"/>
    </row>
    <row r="178" spans="1:19" ht="111" customHeight="1" x14ac:dyDescent="0.3">
      <c r="A178" s="2"/>
      <c r="B178" s="69"/>
      <c r="C178" s="2"/>
      <c r="D178" s="57"/>
      <c r="E178" s="2"/>
      <c r="F178" s="8"/>
      <c r="G178" s="9"/>
      <c r="H178" s="9"/>
      <c r="I178" s="9"/>
      <c r="J178" s="9"/>
      <c r="K178" s="65"/>
      <c r="L178" s="9"/>
      <c r="M178" s="9"/>
      <c r="N178" s="9"/>
      <c r="O178" s="9"/>
      <c r="P178" s="9"/>
      <c r="Q178" s="9"/>
      <c r="R178" s="9"/>
      <c r="S178" s="32"/>
    </row>
    <row r="179" spans="1:19" x14ac:dyDescent="0.3">
      <c r="A179" s="2"/>
      <c r="B179" s="2"/>
      <c r="C179" s="2"/>
      <c r="D179" s="5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2"/>
      <c r="C180" s="2"/>
      <c r="D180" s="56"/>
      <c r="E180" s="62"/>
      <c r="F180" s="26"/>
      <c r="G180" s="27"/>
      <c r="H180" s="9"/>
      <c r="I180" s="27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2"/>
      <c r="B181" s="2"/>
      <c r="C181" s="2"/>
      <c r="D181" s="71"/>
      <c r="E181" s="62"/>
      <c r="F181" s="26"/>
      <c r="G181" s="27"/>
      <c r="H181" s="9"/>
      <c r="I181" s="27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81"/>
      <c r="B182" s="11"/>
      <c r="C182" s="2"/>
      <c r="D182" s="5"/>
      <c r="E182" s="2"/>
      <c r="F182" s="28"/>
      <c r="G182" s="8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</row>
    <row r="183" spans="1:19" x14ac:dyDescent="0.3">
      <c r="A183" s="81"/>
      <c r="B183" s="2"/>
      <c r="C183" s="2"/>
      <c r="D183" s="28"/>
      <c r="E183" s="2"/>
      <c r="F183" s="28"/>
      <c r="G183" s="8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</row>
    <row r="184" spans="1:19" x14ac:dyDescent="0.3">
      <c r="A184" s="80"/>
      <c r="B184" s="2"/>
      <c r="C184" s="2"/>
      <c r="D184" s="55"/>
      <c r="E184" s="2"/>
      <c r="F184" s="28"/>
      <c r="G184" s="8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</row>
    <row r="185" spans="1:19" x14ac:dyDescent="0.3">
      <c r="A185" s="6"/>
      <c r="B185" s="72"/>
      <c r="C185" s="72"/>
      <c r="D185" s="72"/>
      <c r="E185" s="72"/>
      <c r="F185" s="73"/>
      <c r="G185" s="73"/>
      <c r="H185" s="74"/>
      <c r="I185" s="73"/>
      <c r="J185" s="74"/>
      <c r="K185" s="74"/>
      <c r="L185" s="74"/>
      <c r="M185" s="74"/>
      <c r="N185" s="74"/>
      <c r="O185" s="74"/>
      <c r="P185" s="74"/>
      <c r="Q185" s="74"/>
      <c r="R185" s="74"/>
      <c r="S185" s="73"/>
    </row>
    <row r="186" spans="1:19" x14ac:dyDescent="0.3">
      <c r="A186" s="2"/>
      <c r="B186" s="70"/>
      <c r="C186" s="54"/>
      <c r="D186" s="68"/>
      <c r="E186" s="3"/>
      <c r="F186" s="23"/>
      <c r="G186" s="24"/>
      <c r="H186" s="24"/>
      <c r="I186" s="24"/>
      <c r="J186" s="24"/>
      <c r="K186" s="24"/>
      <c r="L186" s="24"/>
      <c r="M186" s="24"/>
      <c r="N186" s="25"/>
      <c r="O186" s="25"/>
      <c r="P186" s="25"/>
      <c r="Q186" s="25"/>
      <c r="R186" s="25"/>
      <c r="S186" s="33"/>
    </row>
    <row r="187" spans="1:19" ht="86.25" customHeight="1" x14ac:dyDescent="0.3">
      <c r="A187" s="2"/>
      <c r="B187" s="60"/>
      <c r="C187" s="64"/>
      <c r="D187" s="57"/>
      <c r="E187" s="2"/>
      <c r="F187" s="8"/>
      <c r="G187" s="9"/>
      <c r="H187" s="9"/>
      <c r="I187" s="9"/>
      <c r="J187" s="9"/>
      <c r="K187" s="65"/>
      <c r="L187" s="9"/>
      <c r="M187" s="9"/>
      <c r="N187" s="9"/>
      <c r="O187" s="9"/>
      <c r="P187" s="9"/>
      <c r="Q187" s="9"/>
      <c r="R187" s="9"/>
      <c r="S187" s="32"/>
    </row>
    <row r="188" spans="1:19" x14ac:dyDescent="0.3">
      <c r="A188" s="2"/>
      <c r="B188" s="2"/>
      <c r="C188" s="2"/>
      <c r="D188" s="5"/>
      <c r="E188" s="2"/>
      <c r="F188" s="8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27"/>
    </row>
    <row r="189" spans="1:19" x14ac:dyDescent="0.3">
      <c r="A189" s="2"/>
      <c r="C189" s="2"/>
      <c r="D189" s="56"/>
      <c r="E189" s="62"/>
      <c r="F189" s="26"/>
      <c r="G189" s="27"/>
      <c r="H189" s="9"/>
      <c r="I189" s="27"/>
      <c r="J189" s="9"/>
      <c r="K189" s="9"/>
      <c r="L189" s="9"/>
      <c r="M189" s="9"/>
      <c r="N189" s="9"/>
      <c r="O189" s="9"/>
      <c r="P189" s="9"/>
      <c r="Q189" s="9"/>
      <c r="R189" s="9"/>
      <c r="S189" s="27"/>
    </row>
    <row r="190" spans="1:19" x14ac:dyDescent="0.3">
      <c r="A190" s="2"/>
      <c r="B190" s="2"/>
      <c r="C190" s="2"/>
      <c r="D190" s="71"/>
      <c r="E190" s="62"/>
      <c r="F190" s="26"/>
      <c r="G190" s="27"/>
      <c r="H190" s="9"/>
      <c r="I190" s="27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B191" s="2"/>
      <c r="C191" s="2"/>
      <c r="D191" s="56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2"/>
      <c r="B192" s="2"/>
      <c r="C192" s="2"/>
      <c r="D192" s="5"/>
      <c r="E192" s="2"/>
      <c r="F192" s="26"/>
      <c r="G192" s="27"/>
      <c r="H192" s="9"/>
      <c r="I192" s="27"/>
      <c r="J192" s="9"/>
      <c r="K192" s="9"/>
      <c r="L192" s="9"/>
      <c r="M192" s="9"/>
      <c r="N192" s="9"/>
      <c r="O192" s="9"/>
      <c r="P192" s="9"/>
      <c r="Q192" s="9"/>
      <c r="R192" s="9"/>
      <c r="S192" s="27"/>
    </row>
    <row r="193" spans="1:19" x14ac:dyDescent="0.3">
      <c r="A193" s="2"/>
      <c r="B193" s="2"/>
      <c r="C193" s="2"/>
      <c r="D193" s="1"/>
      <c r="E193" s="2"/>
      <c r="F193" s="26"/>
      <c r="G193" s="27"/>
      <c r="H193" s="9"/>
      <c r="I193" s="27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B194" s="2"/>
      <c r="C194" s="2"/>
      <c r="D194" s="55"/>
      <c r="E194" s="2"/>
      <c r="F194" s="26"/>
      <c r="G194" s="28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75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6"/>
    </row>
    <row r="196" spans="1:19" x14ac:dyDescent="0.3">
      <c r="A196" s="2"/>
      <c r="B196" s="77"/>
      <c r="C196" s="54"/>
      <c r="D196" s="68"/>
      <c r="E196" s="3"/>
      <c r="F196" s="23"/>
      <c r="G196" s="24"/>
      <c r="H196" s="24"/>
      <c r="I196" s="24"/>
      <c r="J196" s="24"/>
      <c r="K196" s="24"/>
      <c r="L196" s="24"/>
      <c r="M196" s="24"/>
      <c r="N196" s="25"/>
      <c r="O196" s="25"/>
      <c r="P196" s="25"/>
      <c r="Q196" s="25"/>
      <c r="R196" s="25"/>
      <c r="S196" s="33"/>
    </row>
    <row r="197" spans="1:19" ht="84.75" customHeight="1" x14ac:dyDescent="0.3">
      <c r="A197" s="2"/>
      <c r="B197" s="69"/>
      <c r="C197" s="2"/>
      <c r="D197" s="57"/>
      <c r="E197" s="2"/>
      <c r="F197" s="8"/>
      <c r="G197" s="9"/>
      <c r="H197" s="9"/>
      <c r="I197" s="9"/>
      <c r="J197" s="9"/>
      <c r="K197" s="65"/>
      <c r="L197" s="9"/>
      <c r="M197" s="9"/>
      <c r="N197" s="9"/>
      <c r="O197" s="9"/>
      <c r="P197" s="9"/>
      <c r="Q197" s="9"/>
      <c r="R197" s="9"/>
      <c r="S197" s="32"/>
    </row>
    <row r="198" spans="1:19" x14ac:dyDescent="0.3">
      <c r="A198" s="2"/>
      <c r="B198" s="2"/>
      <c r="C198" s="2"/>
      <c r="D198" s="5"/>
      <c r="E198" s="2"/>
      <c r="F198" s="8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C199" s="2"/>
      <c r="D199" s="56"/>
      <c r="E199" s="6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71"/>
      <c r="E200" s="6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9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5"/>
      <c r="E202" s="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1"/>
      <c r="E203" s="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5"/>
      <c r="E204" s="2"/>
      <c r="F204" s="26"/>
      <c r="G204" s="28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7"/>
      <c r="B205" s="4"/>
      <c r="C205" s="4"/>
      <c r="D205" s="4"/>
      <c r="E205" s="4"/>
      <c r="F205" s="29"/>
      <c r="G205" s="29"/>
      <c r="H205" s="12"/>
      <c r="I205" s="29"/>
      <c r="J205" s="12"/>
      <c r="K205" s="12"/>
      <c r="L205" s="12"/>
      <c r="M205" s="12"/>
      <c r="N205" s="12"/>
      <c r="O205" s="12"/>
      <c r="P205" s="12"/>
      <c r="Q205" s="12"/>
      <c r="R205" s="12"/>
      <c r="S205" s="29"/>
    </row>
    <row r="206" spans="1:19" x14ac:dyDescent="0.3">
      <c r="A206" s="2"/>
      <c r="B206" s="77"/>
      <c r="C206" s="54"/>
      <c r="D206" s="68"/>
      <c r="E206" s="3"/>
      <c r="F206" s="23"/>
      <c r="G206" s="24"/>
      <c r="H206" s="24"/>
      <c r="I206" s="24"/>
      <c r="J206" s="24"/>
      <c r="K206" s="24"/>
      <c r="L206" s="24"/>
      <c r="M206" s="24"/>
      <c r="N206" s="25"/>
      <c r="O206" s="25"/>
      <c r="P206" s="25"/>
      <c r="Q206" s="25"/>
      <c r="R206" s="25"/>
      <c r="S206" s="33"/>
    </row>
    <row r="207" spans="1:19" ht="81" customHeight="1" x14ac:dyDescent="0.3">
      <c r="A207" s="2"/>
      <c r="B207" s="3"/>
      <c r="C207" s="60"/>
      <c r="D207" s="57"/>
      <c r="E207" s="2"/>
      <c r="F207" s="8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32"/>
    </row>
    <row r="208" spans="1:19" x14ac:dyDescent="0.3">
      <c r="A208" s="2"/>
      <c r="B208" s="2"/>
      <c r="C208" s="2"/>
      <c r="D208" s="5"/>
      <c r="E208" s="2"/>
      <c r="F208" s="8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9"/>
      <c r="E209" s="78"/>
      <c r="F209" s="8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61"/>
      <c r="D210" s="59"/>
      <c r="E210" s="62"/>
      <c r="F210" s="8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6"/>
      <c r="E211" s="78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2"/>
      <c r="D212" s="5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1"/>
      <c r="E213" s="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5"/>
      <c r="E214" s="2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7"/>
      <c r="B215" s="4"/>
      <c r="C215" s="4"/>
      <c r="D215" s="4"/>
      <c r="E215" s="4"/>
      <c r="F215" s="29"/>
      <c r="G215" s="29"/>
      <c r="H215" s="12"/>
      <c r="I215" s="29"/>
      <c r="J215" s="12"/>
      <c r="K215" s="12"/>
      <c r="L215" s="12"/>
      <c r="M215" s="12"/>
      <c r="N215" s="12"/>
      <c r="O215" s="12"/>
      <c r="P215" s="12"/>
      <c r="Q215" s="12"/>
      <c r="R215" s="12"/>
      <c r="S215" s="29"/>
    </row>
    <row r="216" spans="1:19" x14ac:dyDescent="0.3">
      <c r="A216" s="2"/>
      <c r="B216" s="70"/>
      <c r="C216" s="54"/>
      <c r="D216" s="68"/>
      <c r="E216" s="3"/>
      <c r="F216" s="23"/>
      <c r="G216" s="24"/>
      <c r="H216" s="24"/>
      <c r="I216" s="24"/>
      <c r="J216" s="24"/>
      <c r="K216" s="24"/>
      <c r="L216" s="24"/>
      <c r="M216" s="24"/>
      <c r="N216" s="25"/>
      <c r="O216" s="25"/>
      <c r="P216" s="25"/>
      <c r="Q216" s="25"/>
      <c r="R216" s="25"/>
      <c r="S216" s="33"/>
    </row>
    <row r="217" spans="1:19" ht="83.25" customHeight="1" x14ac:dyDescent="0.3">
      <c r="A217" s="10"/>
      <c r="B217" s="2"/>
      <c r="C217" s="2"/>
      <c r="D217" s="57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32"/>
    </row>
    <row r="218" spans="1:19" x14ac:dyDescent="0.3">
      <c r="A218" s="10"/>
      <c r="B218" s="2"/>
      <c r="C218" s="2"/>
      <c r="D218" s="5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10"/>
      <c r="B219" s="56"/>
      <c r="C219" s="58"/>
      <c r="D219" s="56"/>
      <c r="E219" s="78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10"/>
      <c r="B220" s="59"/>
      <c r="C220" s="62"/>
      <c r="D220" s="59"/>
      <c r="E220" s="6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ht="28.8" x14ac:dyDescent="0.3">
      <c r="A221" s="10"/>
      <c r="B221" s="56"/>
      <c r="C221" s="63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11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x14ac:dyDescent="0.3">
      <c r="A223" s="2"/>
      <c r="B223" s="2"/>
      <c r="C223" s="2"/>
      <c r="D223" s="1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2"/>
      <c r="B224" s="2"/>
      <c r="C224" s="2"/>
      <c r="D224" s="5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79"/>
      <c r="B225" s="7"/>
      <c r="C225" s="4"/>
      <c r="D225" s="4"/>
      <c r="E225" s="4"/>
      <c r="F225" s="4"/>
      <c r="G225" s="29"/>
      <c r="H225" s="29"/>
      <c r="I225" s="12"/>
      <c r="J225" s="29"/>
      <c r="K225" s="12"/>
      <c r="L225" s="12"/>
      <c r="M225" s="12"/>
      <c r="N225" s="12"/>
      <c r="O225" s="12"/>
      <c r="P225" s="12"/>
      <c r="Q225" s="12"/>
      <c r="R225" s="12"/>
      <c r="S225" s="12"/>
    </row>
    <row r="226" spans="1:19" x14ac:dyDescent="0.3">
      <c r="A226" s="2"/>
      <c r="B226" s="70"/>
      <c r="C226" s="54"/>
      <c r="D226" s="68"/>
      <c r="E226" s="3"/>
      <c r="F226" s="23"/>
      <c r="G226" s="24"/>
      <c r="H226" s="24"/>
      <c r="I226" s="24"/>
      <c r="J226" s="24"/>
      <c r="K226" s="24"/>
      <c r="L226" s="24"/>
      <c r="M226" s="24"/>
      <c r="N226" s="25"/>
      <c r="O226" s="25"/>
      <c r="P226" s="25"/>
      <c r="Q226" s="25"/>
      <c r="R226" s="25"/>
      <c r="S226" s="33"/>
    </row>
    <row r="227" spans="1:19" ht="80.25" customHeight="1" x14ac:dyDescent="0.3">
      <c r="A227" s="2"/>
      <c r="B227" s="69"/>
      <c r="C227" s="2"/>
      <c r="D227" s="57"/>
      <c r="E227" s="2"/>
      <c r="F227" s="8"/>
      <c r="G227" s="9"/>
      <c r="H227" s="9"/>
      <c r="I227" s="9"/>
      <c r="J227" s="9"/>
      <c r="K227" s="65"/>
      <c r="L227" s="9"/>
      <c r="M227" s="9"/>
      <c r="N227" s="9"/>
      <c r="O227" s="9"/>
      <c r="P227" s="9"/>
      <c r="Q227" s="9"/>
      <c r="R227" s="9"/>
      <c r="S227" s="32"/>
    </row>
    <row r="228" spans="1:19" x14ac:dyDescent="0.3">
      <c r="A228" s="2"/>
      <c r="B228" s="2"/>
      <c r="C228" s="2"/>
      <c r="D228" s="5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2"/>
      <c r="C229" s="2"/>
      <c r="D229" s="56"/>
      <c r="E229" s="62"/>
      <c r="F229" s="26"/>
      <c r="G229" s="27"/>
      <c r="H229" s="9"/>
      <c r="I229" s="27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2"/>
      <c r="B230" s="2"/>
      <c r="C230" s="2"/>
      <c r="D230" s="71"/>
      <c r="E230" s="62"/>
      <c r="F230" s="26"/>
      <c r="G230" s="27"/>
      <c r="H230" s="9"/>
      <c r="I230" s="27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81"/>
      <c r="B231" s="11"/>
      <c r="C231" s="2"/>
      <c r="D231" s="5"/>
      <c r="E231" s="2"/>
      <c r="F231" s="28"/>
      <c r="G231" s="8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</row>
    <row r="232" spans="1:19" x14ac:dyDescent="0.3">
      <c r="A232" s="81"/>
      <c r="B232" s="2"/>
      <c r="C232" s="2"/>
      <c r="D232" s="1"/>
      <c r="E232" s="2"/>
      <c r="F232" s="28"/>
      <c r="G232" s="8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</row>
    <row r="233" spans="1:19" x14ac:dyDescent="0.3">
      <c r="A233" s="80"/>
      <c r="B233" s="2"/>
      <c r="C233" s="2"/>
      <c r="D233" s="55"/>
      <c r="E233" s="2"/>
      <c r="F233" s="28"/>
      <c r="G233" s="8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</row>
  </sheetData>
  <mergeCells count="4">
    <mergeCell ref="R135:R136"/>
    <mergeCell ref="F137:F138"/>
    <mergeCell ref="N137:N138"/>
    <mergeCell ref="R137:R138"/>
  </mergeCells>
  <dataValidations disablePrompts="1" count="15">
    <dataValidation type="list" allowBlank="1" showInputMessage="1" showErrorMessage="1" sqref="I140 I226 I157 I167 I177 I186 I196 I206 I216 I148" xr:uid="{505D0C23-04E0-420C-A627-F95C3FFA1E8F}">
      <formula1>$I$119:$I$120</formula1>
    </dataValidation>
    <dataValidation type="list" allowBlank="1" showInputMessage="1" showErrorMessage="1" sqref="J140 J226 J157 J167 J177 J186 J196 J206 J216 J148" xr:uid="{4F6CBB78-21C3-4543-99C6-0B7D30475C51}">
      <formula1>$J$117:$J$120</formula1>
    </dataValidation>
    <dataValidation type="list" allowBlank="1" showInputMessage="1" showErrorMessage="1" sqref="F140 F226 F157 F167 F177 F186 F196 F206 F216 F148" xr:uid="{63DC98B9-08EF-4FD2-9048-2D05E3539D09}">
      <formula1>$F$105:$F$120</formula1>
    </dataValidation>
    <dataValidation type="list" allowBlank="1" showInputMessage="1" showErrorMessage="1" sqref="G140 G226 G157 G167 G177 G186 G196 G206 G216 G148" xr:uid="{12A8097F-2264-4351-A04A-54C5623DE4DD}">
      <formula1>$G$109:$G$120</formula1>
    </dataValidation>
    <dataValidation type="list" allowBlank="1" showInputMessage="1" showErrorMessage="1" sqref="H140 H226 H157 H167 H177 H186 H196 H206 H216 H148" xr:uid="{759F49A8-0C03-471B-8F32-5F23EF37A12B}">
      <formula1>$H$115:$H$120</formula1>
    </dataValidation>
    <dataValidation type="list" allowBlank="1" showInputMessage="1" showErrorMessage="1" sqref="K140 K226 K157 K167 K177 K186 K196 K206 K216 K148" xr:uid="{D5AA92FF-0988-4EB5-957F-D124D5F22112}">
      <formula1>$K$113:$K$120</formula1>
    </dataValidation>
    <dataValidation type="list" allowBlank="1" showInputMessage="1" showErrorMessage="1" sqref="P140 P226 P157 P167 P177 P186 P196 P206 P216 P148" xr:uid="{6AA91DCC-EA09-42D6-A9DF-9EE0A37B23AE}">
      <formula1>$P$115:$P$120</formula1>
    </dataValidation>
    <dataValidation type="list" allowBlank="1" showInputMessage="1" showErrorMessage="1" sqref="N140 N226 N157 N167 N177 N186 N196 N206 N216 N148" xr:uid="{8C694FB3-3F60-43C4-9F76-1B6E4B6B1FFC}">
      <formula1>$N$4:$N$120</formula1>
    </dataValidation>
    <dataValidation type="list" allowBlank="1" showInputMessage="1" showErrorMessage="1" sqref="O140 O226 O157 O167 O177 O186 O196 O206 O216 O148" xr:uid="{80B30B22-4088-4328-9EF1-7DE9AC124017}">
      <formula1>$O$118:$O$120</formula1>
    </dataValidation>
    <dataValidation type="list" allowBlank="1" showInputMessage="1" showErrorMessage="1" sqref="Q140 Q226 Q157 Q167 Q177 Q186 Q196 Q206 Q216 Q148" xr:uid="{A61B095E-F5B9-4647-9C68-26110404E17B}">
      <formula1>$Q$118:$Q$120</formula1>
    </dataValidation>
    <dataValidation type="list" allowBlank="1" showInputMessage="1" showErrorMessage="1" sqref="M140 M226 M157 M167 M177 M186 M196 M206 M216 M148" xr:uid="{C50C71BD-B445-4BB5-97CF-DD8B18B63E95}">
      <formula1>$M$120</formula1>
    </dataValidation>
    <dataValidation type="list" allowBlank="1" showInputMessage="1" showErrorMessage="1" sqref="L140 L226 L157 L167 L177 L186 L196 L206 L216 L148" xr:uid="{089E784A-BE41-4977-8375-75A230BE09E1}">
      <formula1>$L$117:$L$120</formula1>
    </dataValidation>
    <dataValidation type="list" showInputMessage="1" showErrorMessage="1" errorTitle="Invalid Data" error="Use data from drop down menu" sqref="G234:I1048576 G147:I147 N147:O147 N195:O195 G195:I195 N234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47:Q147 P195:Q195 P234:Q1048576" xr:uid="{9EB769B6-9D39-4A77-A565-6FAF6B61B6D3}">
      <formula1>#REF!</formula1>
    </dataValidation>
    <dataValidation type="list" allowBlank="1" showInputMessage="1" showErrorMessage="1" sqref="N167 N216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5"/>
  <sheetViews>
    <sheetView zoomScale="80" zoomScaleNormal="80" workbookViewId="0">
      <selection activeCell="D3" sqref="D3"/>
    </sheetView>
  </sheetViews>
  <sheetFormatPr defaultRowHeight="14.4" x14ac:dyDescent="0.3"/>
  <cols>
    <col min="2" max="2" width="8.88671875" style="85"/>
    <col min="3" max="3" width="79.88671875" style="85" customWidth="1"/>
    <col min="4" max="4" width="63.21875" customWidth="1"/>
    <col min="6" max="6" width="65.21875" customWidth="1"/>
  </cols>
  <sheetData>
    <row r="2" spans="2:6" x14ac:dyDescent="0.3">
      <c r="B2" s="84" t="s">
        <v>221</v>
      </c>
      <c r="C2" s="84" t="s">
        <v>222</v>
      </c>
      <c r="D2" s="83" t="s">
        <v>223</v>
      </c>
    </row>
    <row r="3" spans="2:6" ht="43.2" x14ac:dyDescent="0.3">
      <c r="B3" s="85">
        <v>2491115</v>
      </c>
      <c r="C3" s="54" t="s">
        <v>235</v>
      </c>
      <c r="D3" s="1"/>
      <c r="F3" s="13"/>
    </row>
    <row r="5" spans="2:6" ht="43.2" x14ac:dyDescent="0.3">
      <c r="B5" s="85">
        <v>2491117</v>
      </c>
      <c r="C5" s="54" t="s">
        <v>236</v>
      </c>
      <c r="D5" s="54"/>
      <c r="F5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Sys_ClutchSubSystem_522_13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2026-09-03T17:34:21Z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