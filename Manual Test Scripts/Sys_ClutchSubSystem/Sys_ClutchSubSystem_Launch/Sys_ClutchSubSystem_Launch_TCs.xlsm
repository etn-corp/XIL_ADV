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aunch\"/>
    </mc:Choice>
  </mc:AlternateContent>
  <xr:revisionPtr revIDLastSave="0" documentId="13_ncr:1_{F00C9727-5535-4879-82BD-C33EBD771AC3}" xr6:coauthVersionLast="47" xr6:coauthVersionMax="47" xr10:uidLastSave="{00000000-0000-0000-0000-000000000000}"/>
  <bookViews>
    <workbookView xWindow="22932" yWindow="-13068" windowWidth="23256" windowHeight="12456" activeTab="1" xr2:uid="{00000000-000D-0000-FFFF-FFFF00000000}"/>
  </bookViews>
  <sheets>
    <sheet name="Sys_ClutchSubSystem_Launch" sheetId="3" r:id="rId1"/>
    <sheet name="Requirements" sheetId="4" r:id="rId2"/>
  </sheets>
  <definedNames>
    <definedName name="_xlnm._FilterDatabase" localSheetId="0" hidden="1">Sys_ClutchSubSystem_Launch!$A$139:$N$139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<sst xmlns="http://schemas.openxmlformats.org/spreadsheetml/2006/main" count="290" uniqueCount="238">
  <si>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</si>
  <si>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</si>
  <si>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</si>
  <si>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</si>
  <si>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</si>
  <si>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</si>
  <si>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</si>
  <si>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</si>
  <si>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</si>
  <si>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</si>
  <si>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</si>
  <si>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</si>
  <si>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</si>
  <si>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</si>
  <si>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</si>
  <si>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</si>
  <si>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</si>
  <si>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</si>
  <si>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</si>
  <si>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</si>
  <si>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</si>
  <si>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</si>
  <si>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</si>
  <si>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</si>
  <si>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</si>
  <si>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</si>
  <si>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</si>
  <si>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</si>
  <si>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</si>
  <si>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</si>
  <si>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</si>
  <si>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</si>
  <si>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</si>
  <si>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</si>
  <si>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</si>
  <si>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</si>
  <si>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</si>
  <si>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</si>
  <si>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</si>
  <si>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</si>
  <si>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</si>
  <si>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</si>
  <si>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</si>
  <si>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</si>
  <si>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</si>
  <si>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</si>
  <si>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</si>
  <si>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</si>
  <si>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</si>
  <si>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</si>
  <si>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</si>
  <si>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</si>
  <si>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</si>
  <si>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</si>
  <si>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</si>
  <si>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</si>
  <si>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</si>
  <si>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</si>
  <si>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</si>
  <si>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</si>
  <si>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</si>
  <si>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</si>
  <si>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</si>
  <si>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</si>
  <si>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</si>
  <si>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</si>
  <si>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</si>
  <si>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</si>
  <si>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</si>
  <si>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</si>
  <si>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</si>
  <si>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</si>
  <si>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</si>
  <si>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</si>
  <si>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</si>
  <si>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</si>
  <si>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</si>
  <si>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</si>
  <si>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</si>
  <si>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</si>
  <si>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</si>
  <si>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</si>
  <si>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</si>
  <si>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</si>
  <si>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</si>
  <si>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</si>
  <si>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</si>
  <si>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</si>
  <si>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</si>
  <si>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</si>
  <si>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</si>
  <si>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</si>
  <si>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</si>
  <si>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</si>
  <si>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</si>
  <si>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</si>
  <si>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</si>
  <si>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</si>
  <si>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</si>
  <si>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</si>
  <si>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</si>
  <si>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</si>
  <si>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</si>
  <si>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</si>
  <si>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</si>
  <si>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</si>
  <si>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</si>
  <si>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</si>
  <si>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</si>
  <si>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</si>
  <si>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</si>
  <si>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</si>
  <si>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</si>
  <si>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</si>
  <si>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</si>
  <si>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</si>
  <si>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</si>
  <si>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</si>
  <si>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</si>
  <si>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</si>
  <si>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</si>
  <si>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</si>
  <si>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</si>
  <si>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</si>
  <si>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</si>
  <si>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</si>
  <si>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</si>
  <si>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</si>
  <si>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</si>
  <si>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</si>
  <si>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</si>
  <si>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</si>
  <si>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</si>
  <si>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</si>
  <si>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</si>
  <si>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</si>
  <si>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</si>
  <si>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</si>
  <si>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</si>
  <si>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</si>
  <si>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</si>
  <si>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</si>
  <si>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</si>
  <si>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</si>
  <si>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</si>
  <si>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</si>
  <si>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</si>
  <si>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</si>
  <si>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</si>
  <si>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</si>
  <si>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</si>
  <si>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</si>
  <si>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</si>
  <si>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</si>
  <si>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</si>
  <si>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</si>
  <si>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</si>
  <si>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</si>
  <si>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</si>
  <si>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</si>
  <si>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</si>
  <si>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</si>
  <si>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</si>
  <si>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</si>
  <si>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</si>
  <si>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</si>
  <si>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</si>
  <si>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</si>
  <si>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</si>
  <si>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</si>
  <si>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</si>
  <si>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</si>
  <si>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</si>
  <si>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</si>
  <si>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</si>
  <si>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</si>
  <si>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</si>
  <si>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</si>
  <si>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</si>
  <si>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</si>
  <si>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</si>
  <si>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</si>
  <si>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</si>
  <si>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</si>
  <si>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</si>
  <si>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</si>
  <si>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</si>
  <si>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</si>
  <si>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</si>
  <si>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</si>
  <si>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</si>
  <si>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</si>
  <si>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</si>
  <si>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</si>
  <si>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</si>
  <si>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</si>
  <si>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</si>
  <si>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</si>
  <si>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</si>
  <si>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</si>
  <si>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</si>
  <si>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</si>
  <si>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</si>
  <si>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</si>
  <si>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</si>
  <si>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</si>
  <si>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</si>
  <si>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</si>
  <si>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</si>
  <si>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</si>
  <si>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</si>
  <si>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</si>
  <si>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</si>
  <si>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</si>
  <si>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</si>
  <si>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</si>
  <si>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Electrical Diagnostics</t>
  </si>
  <si>
    <t>Functional Diagnostics</t>
  </si>
  <si>
    <t>HIL Test_x000D_
Vehicle Test</t>
  </si>
  <si>
    <t>ZP-25358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</si>
  <si>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</si>
  <si>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</si>
  <si>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SET VEH.AccelPedal = OFF
SET VEH.ServiceBrake = ON
SET VEH.PRNDL = Neutral (0)
SET VEH.ParkingBrake = ON
VERIFY EXPECTED RESULTS
#Summary
1. Release accelerator pedal.
2. Bring vehicle to a stop and select Neutral Mode. Confirm Neutral is accepted.
3. Apply parking brake.</t>
  </si>
  <si>
    <t>SET VEH.AccelPedal = OFF
SET VEH.ServiceBrake = ON
SET VEH.PRNDL = Reverse (-1)
VERIFY EXPECTED RESULTS
#Summary
1. Release accelerator pedal.
2. Bring vehicle to a stop and select Reverse Mode. Confirm Reverse is accepted.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</si>
  <si>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_Sys_ClutchSubSystem_Launch</t>
    </r>
    <r>
      <rPr>
        <sz val="11"/>
        <color theme="1"/>
        <rFont val="Calibri"/>
        <family val="2"/>
        <charset val="238"/>
        <scheme val="minor"/>
      </rPr>
      <t>_VehicleMoving_Drive_Reverse</t>
    </r>
  </si>
  <si>
    <t>SET VEH.ServiceBrake = OFF
SET VEH.AccelPedal = ON
WAIT VEH.CurrentGear = Default Reverse Start Gear
VERIFY EXPECTED RESULTS
#Summary
1. Release brake pedal.
2. Apply accelerator pedal.
3. Depending on the application obtain gear (ADV6 = -1, ADV10 = -2).
      Launch the vehicle in Reverse. Keep driving fully engaged.</t>
  </si>
  <si>
    <t>Id</t>
  </si>
  <si>
    <t>Content</t>
  </si>
  <si>
    <t>Condition</t>
  </si>
  <si>
    <t>The System shall activate Clutch Vehicle Launch while the following conditions are true:
- Engine torque is requested by transmission control system;
- The desired engine torque is greater than C_PtmClutchPosTorqueCmdThd;
- Transmission is in non-Neutral gear;
- Input shaft speed is below Lock Speed Threshold;
- Clutch is disengaged;
- Clutch Locked is deactivated;
- Clutch Unlock is deactivated;
- Clutch Locking is deactivated.</t>
  </si>
  <si>
    <t>The System shall activate Clutch Shift Launch while the following conditions are true:
- Engine torque is requested by transmission control system;
- Clutch is disengaged; 
- Clutch Vehicle Launch is deactivated;
- Clutch Locked is deactivated;
- Clutch Unlock is deactivated;
- Clutch Locking is deactivated.</t>
  </si>
  <si>
    <t>VERIFY ECU.PtmCluVehicleLaunch = 1 WHEN all below conditions are met:
- ECU.PtmEnergyCoastCmd = 1
- ECU.engine_torque_cmd &gt; ECU.C_PtmClutchPosTorqueCmdThd
- ECU.AMTCurrentGear != 0
- ECU.PtmCluBelowLockThd = 1
- ECU.CluLocked = 0
- ECU.PtmCluLocked = 0        
- ECU.PtmCluUnlock = 0
- ECU.PtmCluLocking = 0</t>
  </si>
  <si>
    <t>VERIFY ECU.PtmCluShiftLaunch = 1 WHEN all below conditions are met:
- ECU.PtmCluEngineNeeded = 1
- ECU.CluLocked = 0
- ECU.PtmCluVehicleLaunch = 0
- ECU.PtmCluLocked = 0        
- ECU.PtmCluUnlock = 0
- ECU.PtmCluLocking = 0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</si>
  <si>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rtDWork.clutch_aggressiveness
PtmEngyAggressiveness
SET TE.Battery = 24000 (mV)
SET TE.Ignition = 24000 (mV)
SET VEH.Engine = ON
#Summary:
1. Set battery power and ignition to 24V, then start engine</t>
  </si>
  <si>
    <t>2559038
2559079</t>
  </si>
  <si>
    <t>The System shall activate Clutch Vehicle Launch while the following conditions are true:
- Engine torque is requested by transmission control system;
- The desired engine torque is greater than C_PtmClutchPosTorqueCmdThd;
- Transmission is in non-Neutral gear;
- Input shaft speed is below Lock Speed Threshold;
- Clutch is disengaged;
- Clutch Locked is deactivated;
- Clutch Unlock is deactivated;
- Clutch Locking is deactivated.
The System shall activate Clutch Shift Launch while the following conditions are true:
- Engine torque is requested by transmission control system;
- Clutch is disengaged; 
- Clutch Vehicle Launch is deactivated;
- Clutch Locked is deactivated;
- Clutch Unlock is deactivated;
- Clutch Locking is deactivated.</t>
  </si>
  <si>
    <t>Verify following requirements.</t>
  </si>
  <si>
    <t>SET VEH.ServiceBrake = OFF
SET VEH.AccelPedal = ON
WAIT VEH.CurrentGear = 6 or 10 (depending on application)
VERIFY EXPECTED RESULTS
#Summary
1. Release brake pedal.
2. Apply accelerator pedal.
3. Reach top gear.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</si>
</sst>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6" fillId="18" borderId="0" applyNumberFormat="0" applyBorder="0" applyAlignment="0" applyProtection="0"/>
  </cellStyleXfs>
  <cellXfs count="95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6" fillId="18" borderId="0" xfId="1" applyAlignment="1">
      <alignment horizontal="left" vertical="top" wrapText="1"/>
    </xf>
    <xf numFmtId="0" fontId="26" fillId="18" borderId="0" xfId="1" applyAlignment="1">
      <alignment horizontal="left" vertical="top"/>
    </xf>
  </cellXfs>
  <cellStyles count="2">
    <cellStyle name="Good" xfId="1" builtinId="26"/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9"/>
  <sheetViews>
    <sheetView showGridLines="0" topLeftCell="A133" zoomScale="60" zoomScaleNormal="60" workbookViewId="0">
      <selection activeCell="C143" sqref="C143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217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216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214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234</v>
      </c>
      <c r="B140" s="82" t="s">
        <v>224</v>
      </c>
      <c r="C140" s="54" t="s">
        <v>235</v>
      </c>
      <c r="D140" s="68" t="s">
        <v>233</v>
      </c>
      <c r="E140" s="3" t="s">
        <v>220</v>
      </c>
      <c r="F140" s="23" t="s">
        <v>215</v>
      </c>
      <c r="G140" s="24" t="s">
        <v>218</v>
      </c>
      <c r="H140" s="24" t="s">
        <v>213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219</v>
      </c>
      <c r="S140" s="33" t="e">
        <f xml:space="preserve"> CONCATENATE("urn:com.ibm.rqm:remotescript:",#REF!)</f>
        <v>#REF!</v>
      </c>
    </row>
    <row r="141" spans="1:19" x14ac:dyDescent="0.3">
      <c r="A141" s="2"/>
      <c r="B141" s="2"/>
      <c r="C141" s="2"/>
      <c r="D141" s="5" t="s">
        <v>63</v>
      </c>
      <c r="E141" s="2" t="s">
        <v>220</v>
      </c>
      <c r="F141" s="8" t="s">
        <v>62</v>
      </c>
      <c r="G141" s="9" t="s">
        <v>62</v>
      </c>
      <c r="H141" s="9"/>
      <c r="I141" s="9"/>
      <c r="J141" s="9" t="s">
        <v>62</v>
      </c>
      <c r="K141" s="9" t="s">
        <v>62</v>
      </c>
      <c r="L141" s="9"/>
      <c r="M141" s="9"/>
      <c r="N141" s="9"/>
      <c r="O141" s="9"/>
      <c r="P141" s="9" t="s">
        <v>62</v>
      </c>
      <c r="Q141" s="9"/>
      <c r="R141" s="9" t="s">
        <v>62</v>
      </c>
      <c r="S141" s="27" t="s">
        <v>62</v>
      </c>
    </row>
    <row r="142" spans="1:19" ht="180" customHeight="1" x14ac:dyDescent="0.3">
      <c r="A142" s="2"/>
      <c r="C142" s="2"/>
      <c r="D142" s="56" t="s">
        <v>221</v>
      </c>
      <c r="E142" s="62" t="s">
        <v>220</v>
      </c>
      <c r="F142" s="26"/>
      <c r="G142" s="27"/>
      <c r="H142" s="9"/>
      <c r="I142" s="27"/>
      <c r="J142" s="9"/>
      <c r="K142" s="9"/>
      <c r="L142" s="9"/>
      <c r="M142" s="9"/>
      <c r="N142" s="9"/>
      <c r="O142" s="9"/>
      <c r="P142" s="9"/>
      <c r="Q142" s="9"/>
      <c r="R142" s="9"/>
      <c r="S142" s="27"/>
    </row>
    <row r="143" spans="1:19" ht="129.6" x14ac:dyDescent="0.3">
      <c r="A143" s="2"/>
      <c r="B143" s="2"/>
      <c r="C143" s="2"/>
      <c r="D143" s="71" t="s">
        <v>237</v>
      </c>
      <c r="E143" s="62" t="s">
        <v>220</v>
      </c>
      <c r="F143" s="26" t="s">
        <v>62</v>
      </c>
      <c r="G143" s="27" t="s">
        <v>62</v>
      </c>
      <c r="H143" s="9"/>
      <c r="I143" s="27"/>
      <c r="J143" s="9" t="s">
        <v>62</v>
      </c>
      <c r="K143" s="9" t="s">
        <v>62</v>
      </c>
      <c r="L143" s="9"/>
      <c r="M143" s="9"/>
      <c r="N143" s="9"/>
      <c r="O143" s="9"/>
      <c r="P143" s="9" t="s">
        <v>62</v>
      </c>
      <c r="Q143" s="9"/>
      <c r="R143" s="9" t="s">
        <v>62</v>
      </c>
      <c r="S143" s="27" t="s">
        <v>62</v>
      </c>
    </row>
    <row r="144" spans="1:19" ht="115.2" x14ac:dyDescent="0.3">
      <c r="A144" s="2"/>
      <c r="B144" s="2"/>
      <c r="C144" s="2"/>
      <c r="D144" s="71" t="s">
        <v>223</v>
      </c>
      <c r="E144" s="62" t="s">
        <v>220</v>
      </c>
      <c r="F144" s="26"/>
      <c r="G144" s="27"/>
      <c r="H144" s="9"/>
      <c r="I144" s="27"/>
      <c r="J144" s="9"/>
      <c r="K144" s="9"/>
      <c r="L144" s="9"/>
      <c r="M144" s="9"/>
      <c r="N144" s="9"/>
      <c r="O144" s="9"/>
      <c r="P144" s="9"/>
      <c r="Q144" s="9"/>
      <c r="R144" s="9"/>
      <c r="S144" s="27"/>
    </row>
    <row r="145" spans="1:19" ht="144" x14ac:dyDescent="0.3">
      <c r="A145" s="2"/>
      <c r="B145" s="2"/>
      <c r="C145" s="2"/>
      <c r="D145" s="71" t="s">
        <v>225</v>
      </c>
      <c r="E145" s="62" t="s">
        <v>220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44" x14ac:dyDescent="0.3">
      <c r="A146" s="2"/>
      <c r="B146" s="2"/>
      <c r="C146" s="2"/>
      <c r="D146" s="71" t="s">
        <v>222</v>
      </c>
      <c r="E146" s="62" t="s">
        <v>220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129.6" x14ac:dyDescent="0.3">
      <c r="A147" s="2"/>
      <c r="B147" s="2"/>
      <c r="C147" s="2"/>
      <c r="D147" s="71" t="s">
        <v>236</v>
      </c>
      <c r="E147" s="62" t="s">
        <v>231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100.8" x14ac:dyDescent="0.3">
      <c r="A148" s="2"/>
      <c r="B148" s="2"/>
      <c r="C148" s="2"/>
      <c r="D148" s="71" t="s">
        <v>236</v>
      </c>
      <c r="E148" s="13" t="s">
        <v>232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x14ac:dyDescent="0.3">
      <c r="A149" s="2"/>
      <c r="B149" s="2"/>
      <c r="C149" s="2"/>
      <c r="D149" s="5" t="s">
        <v>64</v>
      </c>
      <c r="E149" s="2" t="s">
        <v>220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x14ac:dyDescent="0.3">
      <c r="A150" s="2"/>
      <c r="B150" s="2"/>
      <c r="C150" s="2"/>
      <c r="D150" s="1"/>
      <c r="E150" s="2"/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x14ac:dyDescent="0.3">
      <c r="A151" s="2"/>
      <c r="B151" s="2"/>
      <c r="C151" s="2"/>
      <c r="D151" s="55"/>
      <c r="E151" s="2"/>
      <c r="F151" s="26"/>
      <c r="G151" s="28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x14ac:dyDescent="0.3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6"/>
    </row>
    <row r="153" spans="1:19" x14ac:dyDescent="0.3">
      <c r="A153" s="2"/>
      <c r="B153" s="77"/>
      <c r="C153" s="54"/>
      <c r="D153" s="68"/>
      <c r="E153" s="3"/>
      <c r="F153" s="23"/>
      <c r="G153" s="24"/>
      <c r="H153" s="24"/>
      <c r="I153" s="24"/>
      <c r="J153" s="24"/>
      <c r="K153" s="24"/>
      <c r="L153" s="24"/>
      <c r="M153" s="24"/>
      <c r="N153" s="25"/>
      <c r="O153" s="25"/>
      <c r="P153" s="25"/>
      <c r="Q153" s="25"/>
      <c r="R153" s="25"/>
      <c r="S153" s="33"/>
    </row>
    <row r="154" spans="1:19" ht="84" customHeight="1" x14ac:dyDescent="0.3">
      <c r="A154" s="2"/>
      <c r="B154" s="69"/>
      <c r="C154" s="2"/>
      <c r="D154" s="57"/>
      <c r="E154" s="2"/>
      <c r="F154" s="8"/>
      <c r="G154" s="9"/>
      <c r="H154" s="9"/>
      <c r="I154" s="9"/>
      <c r="J154" s="9"/>
      <c r="K154" s="65"/>
      <c r="L154" s="9"/>
      <c r="M154" s="9"/>
      <c r="N154" s="9"/>
      <c r="O154" s="9"/>
      <c r="P154" s="9"/>
      <c r="Q154" s="9"/>
      <c r="R154" s="9"/>
      <c r="S154" s="32"/>
    </row>
    <row r="155" spans="1:19" x14ac:dyDescent="0.3">
      <c r="A155" s="2"/>
      <c r="B155" s="2"/>
      <c r="C155" s="2"/>
      <c r="D155" s="5"/>
      <c r="E155" s="2"/>
      <c r="F155" s="8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2"/>
      <c r="C156" s="2"/>
      <c r="D156" s="56"/>
      <c r="E156" s="62"/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x14ac:dyDescent="0.3">
      <c r="A157" s="2"/>
      <c r="B157" s="2"/>
      <c r="C157" s="2"/>
      <c r="D157" s="71"/>
      <c r="E157" s="62"/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x14ac:dyDescent="0.3">
      <c r="A158" s="2"/>
      <c r="B158" s="2"/>
      <c r="C158" s="2"/>
      <c r="D158" s="59"/>
      <c r="E158" s="62"/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x14ac:dyDescent="0.3">
      <c r="A159" s="2"/>
      <c r="B159" s="2"/>
      <c r="C159" s="2"/>
      <c r="D159" s="5"/>
      <c r="E159" s="2"/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x14ac:dyDescent="0.3">
      <c r="A160" s="2"/>
      <c r="B160" s="2"/>
      <c r="C160" s="2"/>
      <c r="D160" s="1"/>
      <c r="E160" s="2"/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2"/>
      <c r="B161" s="2"/>
      <c r="C161" s="2"/>
      <c r="D161" s="55"/>
      <c r="E161" s="2"/>
      <c r="F161" s="26"/>
      <c r="G161" s="28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x14ac:dyDescent="0.3">
      <c r="A162" s="7"/>
      <c r="B162" s="4"/>
      <c r="C162" s="4"/>
      <c r="D162" s="4"/>
      <c r="E162" s="4"/>
      <c r="F162" s="29"/>
      <c r="G162" s="29"/>
      <c r="H162" s="12"/>
      <c r="I162" s="29"/>
      <c r="J162" s="12"/>
      <c r="K162" s="12"/>
      <c r="L162" s="12"/>
      <c r="M162" s="12"/>
      <c r="N162" s="12"/>
      <c r="O162" s="12"/>
      <c r="P162" s="12"/>
      <c r="Q162" s="12"/>
      <c r="R162" s="12"/>
      <c r="S162" s="29"/>
    </row>
    <row r="163" spans="1:19" x14ac:dyDescent="0.3">
      <c r="A163" s="2"/>
      <c r="B163" s="77"/>
      <c r="C163" s="54"/>
      <c r="D163" s="68"/>
      <c r="E163" s="3"/>
      <c r="F163" s="23"/>
      <c r="G163" s="24"/>
      <c r="H163" s="24"/>
      <c r="I163" s="24"/>
      <c r="J163" s="24"/>
      <c r="K163" s="24"/>
      <c r="L163" s="24"/>
      <c r="M163" s="24"/>
      <c r="N163" s="25"/>
      <c r="O163" s="25"/>
      <c r="P163" s="25"/>
      <c r="Q163" s="25"/>
      <c r="R163" s="25"/>
      <c r="S163" s="33"/>
    </row>
    <row r="164" spans="1:19" ht="87.75" customHeight="1" x14ac:dyDescent="0.3">
      <c r="A164" s="2"/>
      <c r="B164" s="3"/>
      <c r="C164" s="60"/>
      <c r="D164" s="57"/>
      <c r="E164" s="2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32"/>
    </row>
    <row r="165" spans="1:19" x14ac:dyDescent="0.3">
      <c r="A165" s="2"/>
      <c r="B165" s="2"/>
      <c r="C165" s="2"/>
      <c r="D165" s="5"/>
      <c r="E165" s="2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ht="395.25" customHeight="1" x14ac:dyDescent="0.3">
      <c r="A166" s="2"/>
      <c r="B166" s="2"/>
      <c r="C166" s="2"/>
      <c r="D166" s="59"/>
      <c r="E166" s="78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61"/>
      <c r="D167" s="59"/>
      <c r="E167" s="62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2"/>
      <c r="D168" s="56"/>
      <c r="E168" s="78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5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1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2"/>
      <c r="D171" s="55"/>
      <c r="E171" s="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7"/>
      <c r="B172" s="4"/>
      <c r="C172" s="4"/>
      <c r="D172" s="4"/>
      <c r="E172" s="4"/>
      <c r="F172" s="29"/>
      <c r="G172" s="29"/>
      <c r="H172" s="12"/>
      <c r="I172" s="29"/>
      <c r="J172" s="12"/>
      <c r="K172" s="12"/>
      <c r="L172" s="12"/>
      <c r="M172" s="12"/>
      <c r="N172" s="12"/>
      <c r="O172" s="12"/>
      <c r="P172" s="12"/>
      <c r="Q172" s="12"/>
      <c r="R172" s="12"/>
      <c r="S172" s="29"/>
    </row>
    <row r="173" spans="1:19" x14ac:dyDescent="0.3">
      <c r="A173" s="2"/>
      <c r="B173" s="70"/>
      <c r="C173" s="54"/>
      <c r="D173" s="68"/>
      <c r="E173" s="3"/>
      <c r="F173" s="23"/>
      <c r="G173" s="24"/>
      <c r="H173" s="24"/>
      <c r="I173" s="24"/>
      <c r="J173" s="24"/>
      <c r="K173" s="24"/>
      <c r="L173" s="24"/>
      <c r="M173" s="24"/>
      <c r="N173" s="25"/>
      <c r="O173" s="25"/>
      <c r="P173" s="25"/>
      <c r="Q173" s="25"/>
      <c r="R173" s="25"/>
      <c r="S173" s="33"/>
    </row>
    <row r="174" spans="1:19" ht="81.75" customHeight="1" x14ac:dyDescent="0.3">
      <c r="A174" s="10"/>
      <c r="B174" s="2"/>
      <c r="C174" s="2"/>
      <c r="D174" s="57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32"/>
    </row>
    <row r="175" spans="1:19" x14ac:dyDescent="0.3">
      <c r="A175" s="10"/>
      <c r="B175" s="2"/>
      <c r="C175" s="2"/>
      <c r="D175" s="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10"/>
      <c r="B176" s="56"/>
      <c r="C176" s="58"/>
      <c r="D176" s="56"/>
      <c r="E176" s="78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x14ac:dyDescent="0.3">
      <c r="A177" s="10"/>
      <c r="B177" s="59"/>
      <c r="C177" s="62"/>
      <c r="D177" s="59"/>
      <c r="E177" s="6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ht="28.8" x14ac:dyDescent="0.3">
      <c r="A178" s="10"/>
      <c r="B178" s="56"/>
      <c r="C178" s="63"/>
      <c r="D178" s="56"/>
      <c r="E178" s="78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x14ac:dyDescent="0.3">
      <c r="A179" s="11"/>
      <c r="B179" s="2"/>
      <c r="C179" s="2"/>
      <c r="D179" s="5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2"/>
      <c r="B180" s="2"/>
      <c r="C180" s="2"/>
      <c r="D180" s="28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2"/>
      <c r="B181" s="2"/>
      <c r="C181" s="2"/>
      <c r="D181" s="55"/>
      <c r="E181" s="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79"/>
      <c r="B182" s="7"/>
      <c r="C182" s="4"/>
      <c r="D182" s="4"/>
      <c r="E182" s="4"/>
      <c r="F182" s="4"/>
      <c r="G182" s="29"/>
      <c r="H182" s="29"/>
      <c r="I182" s="12"/>
      <c r="J182" s="29"/>
      <c r="K182" s="12"/>
      <c r="L182" s="12"/>
      <c r="M182" s="12"/>
      <c r="N182" s="12"/>
      <c r="O182" s="12"/>
      <c r="P182" s="12"/>
      <c r="Q182" s="12"/>
      <c r="R182" s="12"/>
      <c r="S182" s="12"/>
    </row>
    <row r="183" spans="1:19" x14ac:dyDescent="0.3">
      <c r="A183" s="2"/>
      <c r="B183" s="70"/>
      <c r="C183" s="54"/>
      <c r="D183" s="68"/>
      <c r="E183" s="3"/>
      <c r="F183" s="23"/>
      <c r="G183" s="24"/>
      <c r="H183" s="24"/>
      <c r="I183" s="24"/>
      <c r="J183" s="24"/>
      <c r="K183" s="24"/>
      <c r="L183" s="24"/>
      <c r="M183" s="24"/>
      <c r="N183" s="25"/>
      <c r="O183" s="25"/>
      <c r="P183" s="25"/>
      <c r="Q183" s="25"/>
      <c r="R183" s="25"/>
      <c r="S183" s="33"/>
    </row>
    <row r="184" spans="1:19" ht="111" customHeight="1" x14ac:dyDescent="0.3">
      <c r="A184" s="2"/>
      <c r="B184" s="69"/>
      <c r="C184" s="2"/>
      <c r="D184" s="57"/>
      <c r="E184" s="2"/>
      <c r="F184" s="8"/>
      <c r="G184" s="9"/>
      <c r="H184" s="9"/>
      <c r="I184" s="9"/>
      <c r="J184" s="9"/>
      <c r="K184" s="65"/>
      <c r="L184" s="9"/>
      <c r="M184" s="9"/>
      <c r="N184" s="9"/>
      <c r="O184" s="9"/>
      <c r="P184" s="9"/>
      <c r="Q184" s="9"/>
      <c r="R184" s="9"/>
      <c r="S184" s="32"/>
    </row>
    <row r="185" spans="1:19" x14ac:dyDescent="0.3">
      <c r="A185" s="2"/>
      <c r="B185" s="2"/>
      <c r="C185" s="2"/>
      <c r="D185" s="5"/>
      <c r="E185" s="2"/>
      <c r="F185" s="8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27"/>
    </row>
    <row r="186" spans="1:19" x14ac:dyDescent="0.3">
      <c r="A186" s="2"/>
      <c r="C186" s="2"/>
      <c r="D186" s="56"/>
      <c r="E186" s="62"/>
      <c r="F186" s="26"/>
      <c r="G186" s="27"/>
      <c r="H186" s="9"/>
      <c r="I186" s="27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2"/>
      <c r="B187" s="2"/>
      <c r="C187" s="2"/>
      <c r="D187" s="71"/>
      <c r="E187" s="62"/>
      <c r="F187" s="26"/>
      <c r="G187" s="27"/>
      <c r="H187" s="9"/>
      <c r="I187" s="27"/>
      <c r="J187" s="9"/>
      <c r="K187" s="9"/>
      <c r="L187" s="9"/>
      <c r="M187" s="9"/>
      <c r="N187" s="9"/>
      <c r="O187" s="9"/>
      <c r="P187" s="9"/>
      <c r="Q187" s="9"/>
      <c r="R187" s="9"/>
      <c r="S187" s="27"/>
    </row>
    <row r="188" spans="1:19" x14ac:dyDescent="0.3">
      <c r="A188" s="81"/>
      <c r="B188" s="11"/>
      <c r="C188" s="2"/>
      <c r="D188" s="5"/>
      <c r="E188" s="2"/>
      <c r="F188" s="28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</row>
    <row r="189" spans="1:19" x14ac:dyDescent="0.3">
      <c r="A189" s="81"/>
      <c r="B189" s="2"/>
      <c r="C189" s="2"/>
      <c r="D189" s="28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80"/>
      <c r="B190" s="2"/>
      <c r="C190" s="2"/>
      <c r="D190" s="55"/>
      <c r="E190" s="2"/>
      <c r="F190" s="28"/>
      <c r="G190" s="8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</row>
    <row r="191" spans="1:19" x14ac:dyDescent="0.3">
      <c r="A191" s="6"/>
      <c r="B191" s="72"/>
      <c r="C191" s="72"/>
      <c r="D191" s="72"/>
      <c r="E191" s="72"/>
      <c r="F191" s="73"/>
      <c r="G191" s="73"/>
      <c r="H191" s="74"/>
      <c r="I191" s="73"/>
      <c r="J191" s="74"/>
      <c r="K191" s="74"/>
      <c r="L191" s="74"/>
      <c r="M191" s="74"/>
      <c r="N191" s="74"/>
      <c r="O191" s="74"/>
      <c r="P191" s="74"/>
      <c r="Q191" s="74"/>
      <c r="R191" s="74"/>
      <c r="S191" s="73"/>
    </row>
    <row r="192" spans="1:19" x14ac:dyDescent="0.3">
      <c r="A192" s="2"/>
      <c r="B192" s="70"/>
      <c r="C192" s="54"/>
      <c r="D192" s="68"/>
      <c r="E192" s="3"/>
      <c r="F192" s="23"/>
      <c r="G192" s="24"/>
      <c r="H192" s="24"/>
      <c r="I192" s="24"/>
      <c r="J192" s="24"/>
      <c r="K192" s="24"/>
      <c r="L192" s="24"/>
      <c r="M192" s="24"/>
      <c r="N192" s="25"/>
      <c r="O192" s="25"/>
      <c r="P192" s="25"/>
      <c r="Q192" s="25"/>
      <c r="R192" s="25"/>
      <c r="S192" s="33"/>
    </row>
    <row r="193" spans="1:19" ht="86.25" customHeight="1" x14ac:dyDescent="0.3">
      <c r="A193" s="2"/>
      <c r="B193" s="60"/>
      <c r="C193" s="64"/>
      <c r="D193" s="57"/>
      <c r="E193" s="2"/>
      <c r="F193" s="8"/>
      <c r="G193" s="9"/>
      <c r="H193" s="9"/>
      <c r="I193" s="9"/>
      <c r="J193" s="9"/>
      <c r="K193" s="65"/>
      <c r="L193" s="9"/>
      <c r="M193" s="9"/>
      <c r="N193" s="9"/>
      <c r="O193" s="9"/>
      <c r="P193" s="9"/>
      <c r="Q193" s="9"/>
      <c r="R193" s="9"/>
      <c r="S193" s="32"/>
    </row>
    <row r="194" spans="1:19" x14ac:dyDescent="0.3">
      <c r="A194" s="2"/>
      <c r="B194" s="2"/>
      <c r="C194" s="2"/>
      <c r="D194" s="5"/>
      <c r="E194" s="2"/>
      <c r="F194" s="8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C195" s="2"/>
      <c r="D195" s="56"/>
      <c r="E195" s="6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71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56"/>
      <c r="E197" s="6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5"/>
      <c r="E198" s="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1"/>
      <c r="E199" s="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55"/>
      <c r="E200" s="2"/>
      <c r="F200" s="26"/>
      <c r="G200" s="28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75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6"/>
    </row>
    <row r="202" spans="1:19" x14ac:dyDescent="0.3">
      <c r="A202" s="2"/>
      <c r="B202" s="77"/>
      <c r="C202" s="54"/>
      <c r="D202" s="68"/>
      <c r="E202" s="3"/>
      <c r="F202" s="23"/>
      <c r="G202" s="24"/>
      <c r="H202" s="24"/>
      <c r="I202" s="24"/>
      <c r="J202" s="24"/>
      <c r="K202" s="24"/>
      <c r="L202" s="24"/>
      <c r="M202" s="24"/>
      <c r="N202" s="25"/>
      <c r="O202" s="25"/>
      <c r="P202" s="25"/>
      <c r="Q202" s="25"/>
      <c r="R202" s="25"/>
      <c r="S202" s="33"/>
    </row>
    <row r="203" spans="1:19" ht="84.75" customHeight="1" x14ac:dyDescent="0.3">
      <c r="A203" s="2"/>
      <c r="B203" s="69"/>
      <c r="C203" s="2"/>
      <c r="D203" s="57"/>
      <c r="E203" s="2"/>
      <c r="F203" s="8"/>
      <c r="G203" s="9"/>
      <c r="H203" s="9"/>
      <c r="I203" s="9"/>
      <c r="J203" s="9"/>
      <c r="K203" s="65"/>
      <c r="L203" s="9"/>
      <c r="M203" s="9"/>
      <c r="N203" s="9"/>
      <c r="O203" s="9"/>
      <c r="P203" s="9"/>
      <c r="Q203" s="9"/>
      <c r="R203" s="9"/>
      <c r="S203" s="32"/>
    </row>
    <row r="204" spans="1:19" x14ac:dyDescent="0.3">
      <c r="A204" s="2"/>
      <c r="B204" s="2"/>
      <c r="C204" s="2"/>
      <c r="D204" s="5"/>
      <c r="E204" s="2"/>
      <c r="F204" s="8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C205" s="2"/>
      <c r="D205" s="56"/>
      <c r="E205" s="6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71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59"/>
      <c r="E207" s="6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5"/>
      <c r="E208" s="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1"/>
      <c r="E209" s="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55"/>
      <c r="E210" s="2"/>
      <c r="F210" s="26"/>
      <c r="G210" s="28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7"/>
      <c r="B211" s="4"/>
      <c r="C211" s="4"/>
      <c r="D211" s="4"/>
      <c r="E211" s="4"/>
      <c r="F211" s="29"/>
      <c r="G211" s="29"/>
      <c r="H211" s="12"/>
      <c r="I211" s="29"/>
      <c r="J211" s="12"/>
      <c r="K211" s="12"/>
      <c r="L211" s="12"/>
      <c r="M211" s="12"/>
      <c r="N211" s="12"/>
      <c r="O211" s="12"/>
      <c r="P211" s="12"/>
      <c r="Q211" s="12"/>
      <c r="R211" s="12"/>
      <c r="S211" s="29"/>
    </row>
    <row r="212" spans="1:19" x14ac:dyDescent="0.3">
      <c r="A212" s="2"/>
      <c r="B212" s="77"/>
      <c r="C212" s="54"/>
      <c r="D212" s="68"/>
      <c r="E212" s="3"/>
      <c r="F212" s="23"/>
      <c r="G212" s="24"/>
      <c r="H212" s="24"/>
      <c r="I212" s="24"/>
      <c r="J212" s="24"/>
      <c r="K212" s="24"/>
      <c r="L212" s="24"/>
      <c r="M212" s="24"/>
      <c r="N212" s="25"/>
      <c r="O212" s="25"/>
      <c r="P212" s="25"/>
      <c r="Q212" s="25"/>
      <c r="R212" s="25"/>
      <c r="S212" s="33"/>
    </row>
    <row r="213" spans="1:19" ht="81" customHeight="1" x14ac:dyDescent="0.3">
      <c r="A213" s="2"/>
      <c r="B213" s="3"/>
      <c r="C213" s="60"/>
      <c r="D213" s="57"/>
      <c r="E213" s="2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32"/>
    </row>
    <row r="214" spans="1:19" x14ac:dyDescent="0.3">
      <c r="A214" s="2"/>
      <c r="B214" s="2"/>
      <c r="C214" s="2"/>
      <c r="D214" s="5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2"/>
      <c r="D215" s="59"/>
      <c r="E215" s="78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61"/>
      <c r="D216" s="59"/>
      <c r="E216" s="6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2"/>
      <c r="D217" s="56"/>
      <c r="E217" s="78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5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1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2"/>
      <c r="D220" s="55"/>
      <c r="E220" s="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7"/>
      <c r="B221" s="4"/>
      <c r="C221" s="4"/>
      <c r="D221" s="4"/>
      <c r="E221" s="4"/>
      <c r="F221" s="29"/>
      <c r="G221" s="29"/>
      <c r="H221" s="12"/>
      <c r="I221" s="29"/>
      <c r="J221" s="12"/>
      <c r="K221" s="12"/>
      <c r="L221" s="12"/>
      <c r="M221" s="12"/>
      <c r="N221" s="12"/>
      <c r="O221" s="12"/>
      <c r="P221" s="12"/>
      <c r="Q221" s="12"/>
      <c r="R221" s="12"/>
      <c r="S221" s="29"/>
    </row>
    <row r="222" spans="1:19" x14ac:dyDescent="0.3">
      <c r="A222" s="2"/>
      <c r="B222" s="70"/>
      <c r="C222" s="54"/>
      <c r="D222" s="68"/>
      <c r="E222" s="3"/>
      <c r="F222" s="23"/>
      <c r="G222" s="24"/>
      <c r="H222" s="24"/>
      <c r="I222" s="24"/>
      <c r="J222" s="24"/>
      <c r="K222" s="24"/>
      <c r="L222" s="24"/>
      <c r="M222" s="24"/>
      <c r="N222" s="25"/>
      <c r="O222" s="25"/>
      <c r="P222" s="25"/>
      <c r="Q222" s="25"/>
      <c r="R222" s="25"/>
      <c r="S222" s="33"/>
    </row>
    <row r="223" spans="1:19" ht="83.25" customHeight="1" x14ac:dyDescent="0.3">
      <c r="A223" s="10"/>
      <c r="B223" s="2"/>
      <c r="C223" s="2"/>
      <c r="D223" s="57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32"/>
    </row>
    <row r="224" spans="1:19" x14ac:dyDescent="0.3">
      <c r="A224" s="10"/>
      <c r="B224" s="2"/>
      <c r="C224" s="2"/>
      <c r="D224" s="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10"/>
      <c r="B225" s="56"/>
      <c r="C225" s="58"/>
      <c r="D225" s="56"/>
      <c r="E225" s="78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x14ac:dyDescent="0.3">
      <c r="A226" s="10"/>
      <c r="B226" s="59"/>
      <c r="C226" s="62"/>
      <c r="D226" s="59"/>
      <c r="E226" s="6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ht="28.8" x14ac:dyDescent="0.3">
      <c r="A227" s="10"/>
      <c r="B227" s="56"/>
      <c r="C227" s="63"/>
      <c r="D227" s="56"/>
      <c r="E227" s="78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x14ac:dyDescent="0.3">
      <c r="A228" s="11"/>
      <c r="B228" s="2"/>
      <c r="C228" s="2"/>
      <c r="D228" s="5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2"/>
      <c r="B229" s="2"/>
      <c r="C229" s="2"/>
      <c r="D229" s="1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2"/>
      <c r="B230" s="2"/>
      <c r="C230" s="2"/>
      <c r="D230" s="55"/>
      <c r="E230" s="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79"/>
      <c r="B231" s="7"/>
      <c r="C231" s="4"/>
      <c r="D231" s="4"/>
      <c r="E231" s="4"/>
      <c r="F231" s="4"/>
      <c r="G231" s="29"/>
      <c r="H231" s="29"/>
      <c r="I231" s="12"/>
      <c r="J231" s="29"/>
      <c r="K231" s="12"/>
      <c r="L231" s="12"/>
      <c r="M231" s="12"/>
      <c r="N231" s="12"/>
      <c r="O231" s="12"/>
      <c r="P231" s="12"/>
      <c r="Q231" s="12"/>
      <c r="R231" s="12"/>
      <c r="S231" s="12"/>
    </row>
    <row r="232" spans="1:19" x14ac:dyDescent="0.3">
      <c r="A232" s="2"/>
      <c r="B232" s="70"/>
      <c r="C232" s="54"/>
      <c r="D232" s="68"/>
      <c r="E232" s="3"/>
      <c r="F232" s="23"/>
      <c r="G232" s="24"/>
      <c r="H232" s="24"/>
      <c r="I232" s="24"/>
      <c r="J232" s="24"/>
      <c r="K232" s="24"/>
      <c r="L232" s="24"/>
      <c r="M232" s="24"/>
      <c r="N232" s="25"/>
      <c r="O232" s="25"/>
      <c r="P232" s="25"/>
      <c r="Q232" s="25"/>
      <c r="R232" s="25"/>
      <c r="S232" s="33"/>
    </row>
    <row r="233" spans="1:19" ht="80.25" customHeight="1" x14ac:dyDescent="0.3">
      <c r="A233" s="2"/>
      <c r="B233" s="69"/>
      <c r="C233" s="2"/>
      <c r="D233" s="57"/>
      <c r="E233" s="2"/>
      <c r="F233" s="8"/>
      <c r="G233" s="9"/>
      <c r="H233" s="9"/>
      <c r="I233" s="9"/>
      <c r="J233" s="9"/>
      <c r="K233" s="65"/>
      <c r="L233" s="9"/>
      <c r="M233" s="9"/>
      <c r="N233" s="9"/>
      <c r="O233" s="9"/>
      <c r="P233" s="9"/>
      <c r="Q233" s="9"/>
      <c r="R233" s="9"/>
      <c r="S233" s="32"/>
    </row>
    <row r="234" spans="1:19" x14ac:dyDescent="0.3">
      <c r="A234" s="2"/>
      <c r="B234" s="2"/>
      <c r="C234" s="2"/>
      <c r="D234" s="5"/>
      <c r="E234" s="2"/>
      <c r="F234" s="8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27"/>
    </row>
    <row r="235" spans="1:19" x14ac:dyDescent="0.3">
      <c r="A235" s="2"/>
      <c r="C235" s="2"/>
      <c r="D235" s="56"/>
      <c r="E235" s="62"/>
      <c r="F235" s="26"/>
      <c r="G235" s="27"/>
      <c r="H235" s="9"/>
      <c r="I235" s="27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2"/>
      <c r="B236" s="2"/>
      <c r="C236" s="2"/>
      <c r="D236" s="71"/>
      <c r="E236" s="62"/>
      <c r="F236" s="26"/>
      <c r="G236" s="27"/>
      <c r="H236" s="9"/>
      <c r="I236" s="27"/>
      <c r="J236" s="9"/>
      <c r="K236" s="9"/>
      <c r="L236" s="9"/>
      <c r="M236" s="9"/>
      <c r="N236" s="9"/>
      <c r="O236" s="9"/>
      <c r="P236" s="9"/>
      <c r="Q236" s="9"/>
      <c r="R236" s="9"/>
      <c r="S236" s="27"/>
    </row>
    <row r="237" spans="1:19" x14ac:dyDescent="0.3">
      <c r="A237" s="81"/>
      <c r="B237" s="11"/>
      <c r="C237" s="2"/>
      <c r="D237" s="5"/>
      <c r="E237" s="2"/>
      <c r="F237" s="28"/>
      <c r="G237" s="8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</row>
    <row r="238" spans="1:19" x14ac:dyDescent="0.3">
      <c r="A238" s="81"/>
      <c r="B238" s="2"/>
      <c r="C238" s="2"/>
      <c r="D238" s="1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  <row r="239" spans="1:19" x14ac:dyDescent="0.3">
      <c r="A239" s="80"/>
      <c r="B239" s="2"/>
      <c r="C239" s="2"/>
      <c r="D239" s="55"/>
      <c r="E239" s="2"/>
      <c r="F239" s="28"/>
      <c r="G239" s="8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3 I163 I173 I183 I192 I202 I212 I222 I232" xr:uid="{505D0C23-04E0-420C-A627-F95C3FFA1E8F}">
      <formula1>$I$119:$I$120</formula1>
    </dataValidation>
    <dataValidation type="list" allowBlank="1" showInputMessage="1" showErrorMessage="1" sqref="J140 J153 J163 J173 J183 J192 J202 J212 J222 J232" xr:uid="{4F6CBB78-21C3-4543-99C6-0B7D30475C51}">
      <formula1>$J$117:$J$120</formula1>
    </dataValidation>
    <dataValidation type="list" allowBlank="1" showInputMessage="1" showErrorMessage="1" sqref="F140 F153 F163 F173 F183 F192 F202 F212 F222 F232" xr:uid="{63DC98B9-08EF-4FD2-9048-2D05E3539D09}">
      <formula1>$F$105:$F$120</formula1>
    </dataValidation>
    <dataValidation type="list" allowBlank="1" showInputMessage="1" showErrorMessage="1" sqref="G140 G153 G163 G173 G183 G192 G202 G212 G222 G232" xr:uid="{12A8097F-2264-4351-A04A-54C5623DE4DD}">
      <formula1>$G$109:$G$120</formula1>
    </dataValidation>
    <dataValidation type="list" allowBlank="1" showInputMessage="1" showErrorMessage="1" sqref="H140 H153 H163 H173 H183 H192 H202 H212 H222 H232" xr:uid="{759F49A8-0C03-471B-8F32-5F23EF37A12B}">
      <formula1>$H$115:$H$120</formula1>
    </dataValidation>
    <dataValidation type="list" allowBlank="1" showInputMessage="1" showErrorMessage="1" sqref="K140 K153 K163 K173 K183 K192 K202 K212 K222 K232" xr:uid="{D5AA92FF-0988-4EB5-957F-D124D5F22112}">
      <formula1>$K$113:$K$120</formula1>
    </dataValidation>
    <dataValidation type="list" allowBlank="1" showInputMessage="1" showErrorMessage="1" sqref="P140 P153 P163 P173 P183 P192 P202 P212 P222 P232" xr:uid="{6AA91DCC-EA09-42D6-A9DF-9EE0A37B23AE}">
      <formula1>$P$115:$P$120</formula1>
    </dataValidation>
    <dataValidation type="list" allowBlank="1" showInputMessage="1" showErrorMessage="1" sqref="N140 N153 N163 N173 N183 N192 N202 N212 N222 N232" xr:uid="{8C694FB3-3F60-43C4-9F76-1B6E4B6B1FFC}">
      <formula1>$N$4:$N$120</formula1>
    </dataValidation>
    <dataValidation type="list" allowBlank="1" showInputMessage="1" showErrorMessage="1" sqref="O140 O153 O163 O173 O183 O192 O202 O212 O222 O232" xr:uid="{80B30B22-4088-4328-9EF1-7DE9AC124017}">
      <formula1>$O$118:$O$120</formula1>
    </dataValidation>
    <dataValidation type="list" allowBlank="1" showInputMessage="1" showErrorMessage="1" sqref="Q140 Q153 Q163 Q173 Q183 Q192 Q202 Q212 Q222 Q232" xr:uid="{A61B095E-F5B9-4647-9C68-26110404E17B}">
      <formula1>$Q$118:$Q$120</formula1>
    </dataValidation>
    <dataValidation type="list" allowBlank="1" showInputMessage="1" showErrorMessage="1" sqref="M140 M153 M163 M173 M183 M192 M202 M212 M222 M232" xr:uid="{C50C71BD-B445-4BB5-97CF-DD8B18B63E95}">
      <formula1>$M$120</formula1>
    </dataValidation>
    <dataValidation type="list" allowBlank="1" showInputMessage="1" showErrorMessage="1" sqref="L140 L153 L163 L173 L183 L192 L202 L212 L222 L232" xr:uid="{089E784A-BE41-4977-8375-75A230BE09E1}">
      <formula1>$L$117:$L$120</formula1>
    </dataValidation>
    <dataValidation type="list" showInputMessage="1" showErrorMessage="1" errorTitle="Invalid Data" error="Use data from drop down menu" sqref="G240:I1048576 G152:I152 N152:O152 N201:O201 G201:I201 N240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2:Q152 P201:Q201 P240:Q1048576" xr:uid="{9EB769B6-9D39-4A77-A565-6FAF6B61B6D3}">
      <formula1>#REF!</formula1>
    </dataValidation>
    <dataValidation type="list" allowBlank="1" showInputMessage="1" showErrorMessage="1" sqref="N173 N222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B1AF-F11D-4F74-99C6-EDAAEBEBD4EA}">
  <dimension ref="B2:F5"/>
  <sheetViews>
    <sheetView tabSelected="1" zoomScale="80" zoomScaleNormal="80" workbookViewId="0">
      <selection activeCell="F5" sqref="F5"/>
    </sheetView>
  </sheetViews>
  <sheetFormatPr defaultRowHeight="14.4" x14ac:dyDescent="0.3"/>
  <cols>
    <col min="2" max="2" width="8.88671875" style="92"/>
    <col min="3" max="3" width="79.88671875" style="92" customWidth="1"/>
    <col min="4" max="4" width="63.21875" customWidth="1"/>
    <col min="6" max="6" width="65.21875" customWidth="1"/>
  </cols>
  <sheetData>
    <row r="2" spans="2:6" x14ac:dyDescent="0.3">
      <c r="B2" s="91" t="s">
        <v>226</v>
      </c>
      <c r="C2" s="91" t="s">
        <v>227</v>
      </c>
      <c r="D2" s="90" t="s">
        <v>228</v>
      </c>
    </row>
    <row r="3" spans="2:6" ht="129.6" x14ac:dyDescent="0.3">
      <c r="B3" s="94">
        <v>2559038</v>
      </c>
      <c r="C3" s="93" t="s">
        <v>229</v>
      </c>
      <c r="D3" s="93" t="s">
        <v>231</v>
      </c>
      <c r="F3" s="62"/>
    </row>
    <row r="5" spans="2:6" ht="225" customHeight="1" x14ac:dyDescent="0.3">
      <c r="B5" s="94">
        <v>2559079</v>
      </c>
      <c r="C5" s="93" t="s">
        <v>230</v>
      </c>
      <c r="D5" s="93" t="s">
        <v>232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Sys_ClutchSubSystem_Launch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2026-07-28T09:50:28Z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